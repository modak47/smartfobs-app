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-n\Downloads\"/>
    </mc:Choice>
  </mc:AlternateContent>
  <xr:revisionPtr revIDLastSave="0" documentId="13_ncr:20001_{850A5F32-E1EE-4FE5-973A-7353F23E32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ransactions" sheetId="1" r:id="rId1"/>
    <sheet name="Dashboard" sheetId="2" r:id="rId2"/>
    <sheet name="MTD Summary" sheetId="3" r:id="rId3"/>
    <sheet name="Bike Stock" sheetId="4" r:id="rId4"/>
    <sheet name="Mileage" sheetId="5" r:id="rId5"/>
    <sheet name="Lists" sheetId="6" r:id="rId6"/>
    <sheet name="Instructions" sheetId="7" r:id="rId7"/>
    <sheet name="Tax Estimate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1" i="5" l="1"/>
  <c r="G301" i="5"/>
  <c r="H300" i="5"/>
  <c r="G300" i="5"/>
  <c r="H299" i="5"/>
  <c r="G299" i="5"/>
  <c r="H298" i="5"/>
  <c r="G298" i="5"/>
  <c r="H297" i="5"/>
  <c r="G297" i="5"/>
  <c r="H296" i="5"/>
  <c r="G296" i="5"/>
  <c r="H295" i="5"/>
  <c r="G295" i="5"/>
  <c r="H294" i="5"/>
  <c r="G294" i="5"/>
  <c r="H293" i="5"/>
  <c r="G293" i="5"/>
  <c r="H292" i="5"/>
  <c r="G292" i="5"/>
  <c r="H291" i="5"/>
  <c r="G291" i="5"/>
  <c r="H290" i="5"/>
  <c r="G290" i="5"/>
  <c r="H289" i="5"/>
  <c r="G289" i="5"/>
  <c r="H288" i="5"/>
  <c r="G288" i="5"/>
  <c r="H287" i="5"/>
  <c r="G287" i="5"/>
  <c r="H286" i="5"/>
  <c r="G286" i="5"/>
  <c r="H285" i="5"/>
  <c r="G285" i="5"/>
  <c r="H284" i="5"/>
  <c r="G284" i="5"/>
  <c r="H283" i="5"/>
  <c r="G283" i="5"/>
  <c r="H282" i="5"/>
  <c r="G282" i="5"/>
  <c r="H281" i="5"/>
  <c r="G281" i="5"/>
  <c r="H280" i="5"/>
  <c r="G280" i="5"/>
  <c r="H279" i="5"/>
  <c r="G279" i="5"/>
  <c r="H278" i="5"/>
  <c r="G278" i="5"/>
  <c r="H277" i="5"/>
  <c r="G277" i="5"/>
  <c r="H276" i="5"/>
  <c r="G276" i="5"/>
  <c r="H275" i="5"/>
  <c r="G275" i="5"/>
  <c r="H274" i="5"/>
  <c r="G274" i="5"/>
  <c r="H273" i="5"/>
  <c r="G273" i="5"/>
  <c r="H272" i="5"/>
  <c r="G272" i="5"/>
  <c r="H271" i="5"/>
  <c r="G271" i="5"/>
  <c r="H270" i="5"/>
  <c r="G270" i="5"/>
  <c r="H269" i="5"/>
  <c r="G269" i="5"/>
  <c r="H268" i="5"/>
  <c r="G268" i="5"/>
  <c r="H267" i="5"/>
  <c r="G267" i="5"/>
  <c r="H266" i="5"/>
  <c r="G266" i="5"/>
  <c r="H265" i="5"/>
  <c r="G265" i="5"/>
  <c r="H264" i="5"/>
  <c r="G264" i="5"/>
  <c r="H263" i="5"/>
  <c r="G263" i="5"/>
  <c r="H262" i="5"/>
  <c r="G262" i="5"/>
  <c r="H261" i="5"/>
  <c r="G261" i="5"/>
  <c r="H260" i="5"/>
  <c r="G260" i="5"/>
  <c r="H259" i="5"/>
  <c r="G259" i="5"/>
  <c r="H258" i="5"/>
  <c r="G258" i="5"/>
  <c r="H257" i="5"/>
  <c r="G257" i="5"/>
  <c r="H256" i="5"/>
  <c r="G256" i="5"/>
  <c r="H255" i="5"/>
  <c r="G255" i="5"/>
  <c r="H254" i="5"/>
  <c r="G254" i="5"/>
  <c r="H253" i="5"/>
  <c r="G253" i="5"/>
  <c r="H252" i="5"/>
  <c r="G252" i="5"/>
  <c r="H251" i="5"/>
  <c r="G251" i="5"/>
  <c r="H250" i="5"/>
  <c r="G250" i="5"/>
  <c r="H249" i="5"/>
  <c r="G249" i="5"/>
  <c r="H248" i="5"/>
  <c r="G248" i="5"/>
  <c r="H247" i="5"/>
  <c r="G247" i="5"/>
  <c r="H246" i="5"/>
  <c r="G246" i="5"/>
  <c r="H245" i="5"/>
  <c r="G245" i="5"/>
  <c r="H244" i="5"/>
  <c r="G244" i="5"/>
  <c r="H243" i="5"/>
  <c r="G243" i="5"/>
  <c r="H242" i="5"/>
  <c r="G242" i="5"/>
  <c r="H241" i="5"/>
  <c r="G241" i="5"/>
  <c r="H240" i="5"/>
  <c r="G240" i="5"/>
  <c r="H239" i="5"/>
  <c r="G239" i="5"/>
  <c r="H238" i="5"/>
  <c r="G238" i="5"/>
  <c r="H237" i="5"/>
  <c r="G237" i="5"/>
  <c r="H236" i="5"/>
  <c r="G236" i="5"/>
  <c r="H235" i="5"/>
  <c r="G235" i="5"/>
  <c r="H234" i="5"/>
  <c r="G234" i="5"/>
  <c r="H233" i="5"/>
  <c r="G233" i="5"/>
  <c r="H232" i="5"/>
  <c r="G232" i="5"/>
  <c r="H231" i="5"/>
  <c r="G231" i="5"/>
  <c r="H230" i="5"/>
  <c r="G230" i="5"/>
  <c r="H229" i="5"/>
  <c r="G229" i="5"/>
  <c r="H228" i="5"/>
  <c r="G228" i="5"/>
  <c r="H227" i="5"/>
  <c r="G227" i="5"/>
  <c r="H226" i="5"/>
  <c r="G226" i="5"/>
  <c r="H225" i="5"/>
  <c r="G225" i="5"/>
  <c r="H224" i="5"/>
  <c r="G224" i="5"/>
  <c r="H223" i="5"/>
  <c r="G223" i="5"/>
  <c r="H222" i="5"/>
  <c r="G222" i="5"/>
  <c r="H221" i="5"/>
  <c r="G221" i="5"/>
  <c r="H220" i="5"/>
  <c r="G220" i="5"/>
  <c r="H219" i="5"/>
  <c r="G219" i="5"/>
  <c r="H218" i="5"/>
  <c r="G218" i="5"/>
  <c r="H217" i="5"/>
  <c r="G217" i="5"/>
  <c r="H216" i="5"/>
  <c r="G216" i="5"/>
  <c r="H215" i="5"/>
  <c r="G215" i="5"/>
  <c r="H214" i="5"/>
  <c r="G214" i="5"/>
  <c r="H213" i="5"/>
  <c r="G213" i="5"/>
  <c r="H212" i="5"/>
  <c r="G212" i="5"/>
  <c r="H211" i="5"/>
  <c r="G211" i="5"/>
  <c r="H210" i="5"/>
  <c r="G210" i="5"/>
  <c r="H209" i="5"/>
  <c r="G209" i="5"/>
  <c r="H208" i="5"/>
  <c r="G208" i="5"/>
  <c r="H207" i="5"/>
  <c r="G207" i="5"/>
  <c r="H206" i="5"/>
  <c r="G206" i="5"/>
  <c r="H205" i="5"/>
  <c r="G205" i="5"/>
  <c r="H204" i="5"/>
  <c r="G204" i="5"/>
  <c r="H203" i="5"/>
  <c r="G203" i="5"/>
  <c r="H202" i="5"/>
  <c r="G202" i="5"/>
  <c r="H201" i="5"/>
  <c r="G201" i="5"/>
  <c r="H200" i="5"/>
  <c r="G200" i="5"/>
  <c r="H199" i="5"/>
  <c r="G199" i="5"/>
  <c r="H198" i="5"/>
  <c r="G198" i="5"/>
  <c r="H197" i="5"/>
  <c r="G197" i="5"/>
  <c r="H196" i="5"/>
  <c r="G196" i="5"/>
  <c r="H195" i="5"/>
  <c r="G195" i="5"/>
  <c r="H194" i="5"/>
  <c r="G194" i="5"/>
  <c r="H193" i="5"/>
  <c r="G193" i="5"/>
  <c r="H192" i="5"/>
  <c r="G192" i="5"/>
  <c r="H191" i="5"/>
  <c r="G191" i="5"/>
  <c r="H190" i="5"/>
  <c r="G190" i="5"/>
  <c r="H189" i="5"/>
  <c r="G189" i="5"/>
  <c r="H188" i="5"/>
  <c r="G188" i="5"/>
  <c r="H187" i="5"/>
  <c r="G187" i="5"/>
  <c r="H186" i="5"/>
  <c r="G186" i="5"/>
  <c r="H185" i="5"/>
  <c r="G185" i="5"/>
  <c r="H184" i="5"/>
  <c r="G184" i="5"/>
  <c r="H183" i="5"/>
  <c r="G183" i="5"/>
  <c r="H182" i="5"/>
  <c r="G182" i="5"/>
  <c r="H181" i="5"/>
  <c r="G181" i="5"/>
  <c r="H180" i="5"/>
  <c r="G180" i="5"/>
  <c r="H179" i="5"/>
  <c r="G179" i="5"/>
  <c r="H178" i="5"/>
  <c r="G178" i="5"/>
  <c r="H177" i="5"/>
  <c r="G177" i="5"/>
  <c r="H176" i="5"/>
  <c r="G176" i="5"/>
  <c r="H175" i="5"/>
  <c r="G175" i="5"/>
  <c r="H174" i="5"/>
  <c r="G174" i="5"/>
  <c r="H173" i="5"/>
  <c r="G173" i="5"/>
  <c r="H172" i="5"/>
  <c r="G172" i="5"/>
  <c r="H171" i="5"/>
  <c r="G171" i="5"/>
  <c r="H170" i="5"/>
  <c r="G170" i="5"/>
  <c r="H169" i="5"/>
  <c r="G169" i="5"/>
  <c r="H168" i="5"/>
  <c r="G168" i="5"/>
  <c r="H167" i="5"/>
  <c r="G167" i="5"/>
  <c r="H166" i="5"/>
  <c r="G166" i="5"/>
  <c r="H165" i="5"/>
  <c r="G165" i="5"/>
  <c r="H164" i="5"/>
  <c r="G164" i="5"/>
  <c r="H163" i="5"/>
  <c r="G163" i="5"/>
  <c r="H162" i="5"/>
  <c r="G162" i="5"/>
  <c r="H161" i="5"/>
  <c r="G161" i="5"/>
  <c r="H160" i="5"/>
  <c r="G160" i="5"/>
  <c r="H159" i="5"/>
  <c r="G159" i="5"/>
  <c r="H158" i="5"/>
  <c r="G158" i="5"/>
  <c r="H157" i="5"/>
  <c r="G157" i="5"/>
  <c r="H156" i="5"/>
  <c r="G156" i="5"/>
  <c r="H155" i="5"/>
  <c r="G155" i="5"/>
  <c r="H154" i="5"/>
  <c r="G154" i="5"/>
  <c r="H153" i="5"/>
  <c r="G153" i="5"/>
  <c r="H152" i="5"/>
  <c r="G152" i="5"/>
  <c r="H151" i="5"/>
  <c r="G151" i="5"/>
  <c r="H150" i="5"/>
  <c r="G150" i="5"/>
  <c r="H149" i="5"/>
  <c r="G149" i="5"/>
  <c r="H148" i="5"/>
  <c r="G148" i="5"/>
  <c r="H147" i="5"/>
  <c r="G147" i="5"/>
  <c r="H146" i="5"/>
  <c r="G146" i="5"/>
  <c r="H145" i="5"/>
  <c r="G145" i="5"/>
  <c r="H144" i="5"/>
  <c r="G144" i="5"/>
  <c r="H143" i="5"/>
  <c r="G143" i="5"/>
  <c r="H142" i="5"/>
  <c r="G142" i="5"/>
  <c r="H141" i="5"/>
  <c r="G141" i="5"/>
  <c r="H140" i="5"/>
  <c r="G140" i="5"/>
  <c r="H139" i="5"/>
  <c r="G139" i="5"/>
  <c r="H138" i="5"/>
  <c r="G138" i="5"/>
  <c r="H137" i="5"/>
  <c r="G137" i="5"/>
  <c r="H136" i="5"/>
  <c r="G136" i="5"/>
  <c r="H135" i="5"/>
  <c r="G135" i="5"/>
  <c r="H134" i="5"/>
  <c r="G134" i="5"/>
  <c r="H133" i="5"/>
  <c r="G133" i="5"/>
  <c r="H132" i="5"/>
  <c r="G132" i="5"/>
  <c r="H131" i="5"/>
  <c r="G131" i="5"/>
  <c r="H130" i="5"/>
  <c r="G130" i="5"/>
  <c r="H129" i="5"/>
  <c r="G129" i="5"/>
  <c r="H128" i="5"/>
  <c r="G128" i="5"/>
  <c r="H127" i="5"/>
  <c r="G127" i="5"/>
  <c r="H126" i="5"/>
  <c r="G126" i="5"/>
  <c r="H125" i="5"/>
  <c r="G125" i="5"/>
  <c r="H124" i="5"/>
  <c r="G124" i="5"/>
  <c r="H123" i="5"/>
  <c r="G123" i="5"/>
  <c r="H122" i="5"/>
  <c r="G122" i="5"/>
  <c r="H121" i="5"/>
  <c r="G121" i="5"/>
  <c r="H120" i="5"/>
  <c r="G120" i="5"/>
  <c r="H119" i="5"/>
  <c r="G119" i="5"/>
  <c r="H118" i="5"/>
  <c r="G118" i="5"/>
  <c r="H117" i="5"/>
  <c r="G117" i="5"/>
  <c r="H116" i="5"/>
  <c r="G116" i="5"/>
  <c r="H115" i="5"/>
  <c r="G115" i="5"/>
  <c r="H114" i="5"/>
  <c r="G114" i="5"/>
  <c r="H113" i="5"/>
  <c r="G113" i="5"/>
  <c r="H112" i="5"/>
  <c r="G112" i="5"/>
  <c r="H111" i="5"/>
  <c r="G111" i="5"/>
  <c r="H110" i="5"/>
  <c r="G110" i="5"/>
  <c r="H109" i="5"/>
  <c r="G109" i="5"/>
  <c r="H108" i="5"/>
  <c r="G108" i="5"/>
  <c r="H107" i="5"/>
  <c r="G107" i="5"/>
  <c r="H106" i="5"/>
  <c r="G106" i="5"/>
  <c r="H105" i="5"/>
  <c r="G105" i="5"/>
  <c r="H104" i="5"/>
  <c r="G104" i="5"/>
  <c r="H103" i="5"/>
  <c r="G103" i="5"/>
  <c r="H102" i="5"/>
  <c r="G102" i="5"/>
  <c r="H101" i="5"/>
  <c r="G101" i="5"/>
  <c r="H100" i="5"/>
  <c r="G100" i="5"/>
  <c r="H99" i="5"/>
  <c r="G99" i="5"/>
  <c r="H98" i="5"/>
  <c r="G98" i="5"/>
  <c r="H97" i="5"/>
  <c r="G97" i="5"/>
  <c r="H96" i="5"/>
  <c r="G96" i="5"/>
  <c r="H95" i="5"/>
  <c r="G95" i="5"/>
  <c r="H94" i="5"/>
  <c r="G94" i="5"/>
  <c r="H93" i="5"/>
  <c r="G93" i="5"/>
  <c r="H92" i="5"/>
  <c r="G92" i="5"/>
  <c r="H91" i="5"/>
  <c r="G91" i="5"/>
  <c r="H90" i="5"/>
  <c r="G90" i="5"/>
  <c r="H89" i="5"/>
  <c r="G89" i="5"/>
  <c r="H88" i="5"/>
  <c r="G88" i="5"/>
  <c r="H87" i="5"/>
  <c r="G87" i="5"/>
  <c r="H86" i="5"/>
  <c r="G86" i="5"/>
  <c r="H85" i="5"/>
  <c r="G85" i="5"/>
  <c r="H84" i="5"/>
  <c r="G84" i="5"/>
  <c r="H83" i="5"/>
  <c r="G83" i="5"/>
  <c r="H82" i="5"/>
  <c r="G82" i="5"/>
  <c r="H81" i="5"/>
  <c r="G81" i="5"/>
  <c r="H80" i="5"/>
  <c r="G80" i="5"/>
  <c r="H79" i="5"/>
  <c r="G79" i="5"/>
  <c r="H78" i="5"/>
  <c r="G78" i="5"/>
  <c r="H77" i="5"/>
  <c r="G77" i="5"/>
  <c r="H76" i="5"/>
  <c r="G76" i="5"/>
  <c r="H75" i="5"/>
  <c r="G75" i="5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3" i="5"/>
  <c r="G3" i="5"/>
  <c r="H2" i="5"/>
  <c r="G2" i="5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C20" i="2"/>
  <c r="B20" i="2"/>
  <c r="C19" i="2"/>
  <c r="B19" i="2"/>
  <c r="D19" i="2" s="1"/>
  <c r="E10" i="2"/>
  <c r="E9" i="2"/>
  <c r="E8" i="2"/>
  <c r="E7" i="2"/>
  <c r="E6" i="2"/>
  <c r="J5" i="2"/>
  <c r="E5" i="2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C18" i="2" s="1"/>
  <c r="L211" i="1"/>
  <c r="B18" i="2" s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D20" i="2" l="1"/>
  <c r="D18" i="2"/>
  <c r="E4" i="8"/>
  <c r="J6" i="2"/>
  <c r="E7" i="3"/>
  <c r="C17" i="2"/>
  <c r="C21" i="2" s="1"/>
  <c r="B6" i="2"/>
  <c r="B5" i="8" s="1"/>
  <c r="E8" i="3"/>
  <c r="E9" i="3" s="1"/>
  <c r="E6" i="3"/>
  <c r="E5" i="3"/>
  <c r="D7" i="3"/>
  <c r="D5" i="3"/>
  <c r="B17" i="2"/>
  <c r="B5" i="2"/>
  <c r="D6" i="3"/>
  <c r="D8" i="3"/>
  <c r="F7" i="3" l="1"/>
  <c r="F6" i="3"/>
  <c r="F5" i="3"/>
  <c r="E5" i="8"/>
  <c r="B21" i="2"/>
  <c r="D21" i="2" s="1"/>
  <c r="D17" i="2"/>
  <c r="B4" i="8"/>
  <c r="B7" i="2"/>
  <c r="F8" i="3"/>
  <c r="F9" i="3" s="1"/>
  <c r="D9" i="3"/>
  <c r="B9" i="2" l="1"/>
  <c r="B8" i="8" s="1"/>
  <c r="J7" i="2"/>
  <c r="J8" i="2" s="1"/>
  <c r="B8" i="2"/>
  <c r="B6" i="8"/>
  <c r="E6" i="8" l="1"/>
  <c r="J9" i="2"/>
  <c r="J10" i="2"/>
  <c r="E8" i="8" s="1"/>
  <c r="B10" i="2"/>
  <c r="B9" i="8" s="1"/>
  <c r="B7" i="8"/>
  <c r="J11" i="2" l="1"/>
  <c r="E9" i="8" s="1"/>
  <c r="E7" i="8"/>
</calcChain>
</file>

<file path=xl/sharedStrings.xml><?xml version="1.0" encoding="utf-8"?>
<sst xmlns="http://schemas.openxmlformats.org/spreadsheetml/2006/main" count="2836" uniqueCount="423">
  <si>
    <t>Date</t>
  </si>
  <si>
    <t>Bank Type</t>
  </si>
  <si>
    <t>Description</t>
  </si>
  <si>
    <t>Original Amount (£)</t>
  </si>
  <si>
    <t>Direction</t>
  </si>
  <si>
    <t>Payment Method</t>
  </si>
  <si>
    <t>Category</t>
  </si>
  <si>
    <t>Subcategory / Detail</t>
  </si>
  <si>
    <t>Business Status</t>
  </si>
  <si>
    <t>Business Use %</t>
  </si>
  <si>
    <t>Allowable?</t>
  </si>
  <si>
    <t>Allowable Income (£)</t>
  </si>
  <si>
    <t>Allowable Expense (£)</t>
  </si>
  <si>
    <t>VAT Treatment</t>
  </si>
  <si>
    <t>Receipt Status</t>
  </si>
  <si>
    <t>Receipt / File Link</t>
  </si>
  <si>
    <t>Bike / Job Ref</t>
  </si>
  <si>
    <t>MTD Quarter</t>
  </si>
  <si>
    <t>Notes</t>
  </si>
  <si>
    <t>Accountant Review</t>
  </si>
  <si>
    <t>Bank Balance (£)</t>
  </si>
  <si>
    <t>BP</t>
  </si>
  <si>
    <t>Dan byrne natwest Post office</t>
  </si>
  <si>
    <t>Expense</t>
  </si>
  <si>
    <t>Bank Transfer</t>
  </si>
  <si>
    <t>Postage and Courier</t>
  </si>
  <si>
    <t>Business</t>
  </si>
  <si>
    <t>Yes</t>
  </si>
  <si>
    <t>No VAT registered</t>
  </si>
  <si>
    <t>To find</t>
  </si>
  <si>
    <t>Outside 2026–27</t>
  </si>
  <si>
    <t>Not reviewed</t>
  </si>
  <si>
    <t>CR</t>
  </si>
  <si>
    <t>Premium Parts Pcx</t>
  </si>
  <si>
    <t>Income</t>
  </si>
  <si>
    <t>Other Business Income</t>
  </si>
  <si>
    <t>Sell your motobikePurchace</t>
  </si>
  <si>
    <t>Bike Purchases (Stock)</t>
  </si>
  <si>
    <t>DANIEL WILLIA CP Startup</t>
  </si>
  <si>
    <t>DEMETRIS ED BIKE</t>
  </si>
  <si>
    <t>Christian Mutt mj68mxu</t>
  </si>
  <si>
    <t>Atanas Monev KEY</t>
  </si>
  <si>
    <t>Travis Deposit return</t>
  </si>
  <si>
    <t>Other Business Expense</t>
  </si>
  <si>
    <t>No</t>
  </si>
  <si>
    <t>D Collins ej12dpn</t>
  </si>
  <si>
    <t>)))</t>
  </si>
  <si>
    <t>SINNIS MOTORCYCLESBRIGHTON</t>
  </si>
  <si>
    <t>Card</t>
  </si>
  <si>
    <t>Parts and Materials</t>
  </si>
  <si>
    <t>JONATHAN MONKS monks SCUcodekey</t>
  </si>
  <si>
    <t>SHOPIFY INC SHOPIFY /PAYER ACC</t>
  </si>
  <si>
    <t>SmartFobs Sales</t>
  </si>
  <si>
    <t>NICOLA MANNING bike</t>
  </si>
  <si>
    <t>Dan byrne natwest Shopify sub</t>
  </si>
  <si>
    <t>Software and Subscriptions</t>
  </si>
  <si>
    <t>CROFT H J TRIUMPH</t>
  </si>
  <si>
    <t>VIS</t>
  </si>
  <si>
    <t>ALIEXPRESS.COM London</t>
  </si>
  <si>
    <t>Tools and Equipment</t>
  </si>
  <si>
    <t>tooling</t>
  </si>
  <si>
    <t>POST OFFICE COUNTEBRIGHTON</t>
  </si>
  <si>
    <t>easyJetKBBMGQ5 Luton</t>
  </si>
  <si>
    <t>Travel and Parking</t>
  </si>
  <si>
    <t>Business travel – Milan supplier and parts sourcing</t>
  </si>
  <si>
    <t>Two-day business trip to Milan with Sean to research motorcycle parts and potential products for resale. Sean paid the accommodation.</t>
  </si>
  <si>
    <t>Dg motorcycles Mot WD22 MWJ</t>
  </si>
  <si>
    <t>DD</t>
  </si>
  <si>
    <t>SHOPIFY</t>
  </si>
  <si>
    <t>Direct Debit</t>
  </si>
  <si>
    <t>OVERCLOCKERS UK NEWCASTLE-UND</t>
  </si>
  <si>
    <t xml:space="preserve">new work pc parts </t>
  </si>
  <si>
    <t>Keys / Stock / Small Parts</t>
  </si>
  <si>
    <t>key stock</t>
  </si>
  <si>
    <t>AUTO TRADER MANCHESTER</t>
  </si>
  <si>
    <t>Advertising and Marketing</t>
  </si>
  <si>
    <t>cost of advert</t>
  </si>
  <si>
    <t>Lorenne De Souza</t>
  </si>
  <si>
    <t>DR</t>
  </si>
  <si>
    <t>Non-Sterling Transaction Fee</t>
  </si>
  <si>
    <t>Bank Fee</t>
  </si>
  <si>
    <t>travel expenses</t>
  </si>
  <si>
    <t>INT'L 0014421531 FIERA MI RISTORAZIRHO EUR 8.00 @ 1.1379 Visa Rate</t>
  </si>
  <si>
    <t>INT'L 0014421530 FIERA MI RISTORAZIRHO EUR 10.00 @ 1.1376 Visa Rate</t>
  </si>
  <si>
    <t>INT'L 0014421529 FIERA MI RISTORAZIRHO EUR 9.00 @ 1.1378 Visa Rate</t>
  </si>
  <si>
    <t>INT'L 0021991948 AUTOGRILL 0546 SOMMA LOMBARD EUR 15.20 @ 1.1334 Visa Rate</t>
  </si>
  <si>
    <t>INT'L 0021991947 Chiosco Reg MalpenFERNO EUR 7.00 @ 1.1326 Visa Rate</t>
  </si>
  <si>
    <t>INT'L 0021991946 FNM*TRENORD TVM 45BUSTO ARSIZIO EUR 2.00 @ 1.1363 Visa Rate</t>
  </si>
  <si>
    <t>INT'L 0021991945 FNM*TRENORD TVM 55RHO EUR 6.40 @ 1.1327 Visa Rate</t>
  </si>
  <si>
    <t>Zeeshan Sarfaraz Sent from Revolut</t>
  </si>
  <si>
    <t>BRYAN STEANSON Ashtons motorbike</t>
  </si>
  <si>
    <t>Bike Sales</t>
  </si>
  <si>
    <t>mutt ?</t>
  </si>
  <si>
    <t>HALFORDS 0555 BRIGHTON LEWE</t>
  </si>
  <si>
    <t>SASSO &amp; KOPEC Key fob</t>
  </si>
  <si>
    <t>INT'L 0012750504 PAYPAL *1386239CZN4029357733</t>
  </si>
  <si>
    <t>B Idriss Key</t>
  </si>
  <si>
    <t>JONES GARETH R XMAX</t>
  </si>
  <si>
    <t>Dan byrne natwest Drawings</t>
  </si>
  <si>
    <t>Owner Drawings</t>
  </si>
  <si>
    <t>Exclude</t>
  </si>
  <si>
    <t>aliexpress London</t>
  </si>
  <si>
    <t>R Hopes Richard Hopes</t>
  </si>
  <si>
    <t>WYSOCKA AM WIESLAW WYSOCKI</t>
  </si>
  <si>
    <t>HMRC GOV.UK SA GLASGOW</t>
  </si>
  <si>
    <t>Accountancy and Legal</t>
  </si>
  <si>
    <t>Dan byrne natwest Autotrader advert</t>
  </si>
  <si>
    <t>S Khan Bike key</t>
  </si>
  <si>
    <t>INT'L 0084342367 PAYPAL *1386239CZN4029357733</t>
  </si>
  <si>
    <t>tooling module</t>
  </si>
  <si>
    <t>Dan byrne natwest Auto trader 29jan</t>
  </si>
  <si>
    <t>Transfer Between Own Accounts</t>
  </si>
  <si>
    <t>pay for advert of bike</t>
  </si>
  <si>
    <t>PAYPAL *jonas.debeVisa Direct</t>
  </si>
  <si>
    <t>refund for error</t>
  </si>
  <si>
    <t>Dan byrne natwest Shoify sub apr25-</t>
  </si>
  <si>
    <t>refund for shopify subscription</t>
  </si>
  <si>
    <t>A Shaker</t>
  </si>
  <si>
    <t>eBay O*12-14284-46INTERNET</t>
  </si>
  <si>
    <t>R Curry</t>
  </si>
  <si>
    <t>INT'L 0006046237 PAYPAL *CONGTYCOPH4029357733</t>
  </si>
  <si>
    <t>stock keys</t>
  </si>
  <si>
    <t>INT'L 0006046236 PAYPAL *CONGTYCOPH4029357733</t>
  </si>
  <si>
    <t>module upgrade tooling</t>
  </si>
  <si>
    <t>GSF Hove</t>
  </si>
  <si>
    <t>IMF Brighton Brighton</t>
  </si>
  <si>
    <t>sockets</t>
  </si>
  <si>
    <t>jack</t>
  </si>
  <si>
    <t>INT'L 0042717599 SHOPIFY* 504605481DUBLIN</t>
  </si>
  <si>
    <t>DZ Motorcycles 2keys</t>
  </si>
  <si>
    <t>eBay O*17-14389-23INTERNET</t>
  </si>
  <si>
    <t>eBay O*16-14390-79INTERNET</t>
  </si>
  <si>
    <t>eBay O*15-14392-34INTERNET</t>
  </si>
  <si>
    <t>Canva* 04829-35193London</t>
  </si>
  <si>
    <t>flyers</t>
  </si>
  <si>
    <t>Z Hakimi</t>
  </si>
  <si>
    <t>SELL YOUR MOTORBIKRepairs</t>
  </si>
  <si>
    <t>SELL YOUR MOTORBIKEk20vjd</t>
  </si>
  <si>
    <t>Diego Andres SanchNext day tracked</t>
  </si>
  <si>
    <t>James chinnery Sellyourmotorbike</t>
  </si>
  <si>
    <t>Md rahman Deposit nmax</t>
  </si>
  <si>
    <t>Josie walliman Mutt purchace</t>
  </si>
  <si>
    <t>Dad Alam Key cutting</t>
  </si>
  <si>
    <t>SHELL UK LTD COBHAM</t>
  </si>
  <si>
    <t>Fuel / Vehicle Costs</t>
  </si>
  <si>
    <t>Q1: 6 Apr–5 Jul</t>
  </si>
  <si>
    <t>eBay O*20-14462-20INTERNET</t>
  </si>
  <si>
    <t>Dobbies Garden CenBrighton</t>
  </si>
  <si>
    <t>Review</t>
  </si>
  <si>
    <t>"Workshop uniform"</t>
  </si>
  <si>
    <t>BRIGHTON S/STN - FBRIGHTON</t>
  </si>
  <si>
    <t>Josie walliman Mutt purchace full</t>
  </si>
  <si>
    <t>Diego Andres SanchProfessionaladvice</t>
  </si>
  <si>
    <t>INT'L 0082530698 SHOPIFY* 518284322DUBLIN</t>
  </si>
  <si>
    <t>Reviewed</t>
  </si>
  <si>
    <t>INT'L 0066969939 OPENAI *CHATGPT SUOPENAI.COM</t>
  </si>
  <si>
    <t>HALFORDS 0886 SHOREHAM-ON-S</t>
  </si>
  <si>
    <t>Repairs and Maintenance</t>
  </si>
  <si>
    <t>eBay O*12-14530-41INTERNET</t>
  </si>
  <si>
    <t>Not needed</t>
  </si>
  <si>
    <t>MARSHALL V &amp; DJ Mutt dealer</t>
  </si>
  <si>
    <t>Gabor dams Purchace</t>
  </si>
  <si>
    <t>Stock</t>
  </si>
  <si>
    <t>Bike purchase for resale; add bike details to Bike Stock sheet.</t>
  </si>
  <si>
    <t>AUTOTRADER MANCHESTER</t>
  </si>
  <si>
    <t>MARSHALL DJ Mutt dealer</t>
  </si>
  <si>
    <t>SELL YOUR MOTORBIKLabour</t>
  </si>
  <si>
    <t>Labour / Contract Income</t>
  </si>
  <si>
    <t>ASDA PETROL 5118 HOLLINGBURY</t>
  </si>
  <si>
    <t>ROYAL MAIL GROUP LCHESTERFIELD</t>
  </si>
  <si>
    <t>Owner's drawings — excluded from deductible expenses.</t>
  </si>
  <si>
    <t>I Rusnac key</t>
  </si>
  <si>
    <t>Dan byrne natwest Office furnit repy</t>
  </si>
  <si>
    <t>Office and Stationery</t>
  </si>
  <si>
    <t>WWW.HUEL.COM TRING</t>
  </si>
  <si>
    <t>Personal / Non-business</t>
  </si>
  <si>
    <t>Personal</t>
  </si>
  <si>
    <t>Personal/non-business — excluded from allowable expenses.</t>
  </si>
  <si>
    <t>POST OFFICE COUNTEHENFIELD</t>
  </si>
  <si>
    <t>Bruno Henrique MacBRUNO HENRIQUE MAC</t>
  </si>
  <si>
    <t>UNIVERSITY WAY SF BRIGHTON EAST</t>
  </si>
  <si>
    <t>eBay O*06-14642-80INTERNET</t>
  </si>
  <si>
    <t>INT'L 0004284680 OPENAI *CHATGPT SUOPENAI.COM</t>
  </si>
  <si>
    <t>eBay O*09-14645-36INTERNET</t>
  </si>
  <si>
    <t>INT'L 0011569104 SHOPIFY* 532229830DUBLIN</t>
  </si>
  <si>
    <t>A&amp;J MOTORCYCLES LI</t>
  </si>
  <si>
    <t>OCHOA&amp;FOMBEL Manuel Ochoa fob</t>
  </si>
  <si>
    <t>SELL YOUR MOTORBIKLABOUR</t>
  </si>
  <si>
    <t>eBay O*07-14710-14INTERNET</t>
  </si>
  <si>
    <t>Marcelo Vieira BarKey Forza</t>
  </si>
  <si>
    <t>GARDEN PRIDE DITCHLING</t>
  </si>
  <si>
    <t>I Rodrigues</t>
  </si>
  <si>
    <t>POST OFFICE COUNTEHOVE</t>
  </si>
  <si>
    <t>S Hayward key</t>
  </si>
  <si>
    <t>INT'L 0050584008 OPENAI *CHATGPT SUOPENAI.COM</t>
  </si>
  <si>
    <t>INT'L 0050584007 PAYPAL *OBDSCANNER4029357733</t>
  </si>
  <si>
    <t>INT'L 0050584006 SHOPIFY* 546209633DUBLIN</t>
  </si>
  <si>
    <t>RENTAL BIKES BRIGHKey</t>
  </si>
  <si>
    <t>ROBEL TEUMAY WEREDkey</t>
  </si>
  <si>
    <t>SELL YOUR MOTORBIKgy26ubd</t>
  </si>
  <si>
    <t>SELL YOUR MOTORBIKsoftware dev</t>
  </si>
  <si>
    <t>LEE &amp; WHITE Key code</t>
  </si>
  <si>
    <t>Dirceu Lucio Da SiDIRCEU LUCIO DA SI</t>
  </si>
  <si>
    <t>County Oak Post OfBrighton</t>
  </si>
  <si>
    <t>Abderrezak Zerrad</t>
  </si>
  <si>
    <t>DG MOTORCYCLE CENTSH300 Keycoding</t>
  </si>
  <si>
    <t>INT'L 0048508843 OPENAI *CHATGPT SUOPENAI.COM</t>
  </si>
  <si>
    <t>Remigiusz Bryk Wysano z Revolut</t>
  </si>
  <si>
    <t>Q2: 6 Jul–5 Oct</t>
  </si>
  <si>
    <t>Dan byrne natwest Withdraw parts</t>
  </si>
  <si>
    <t>Cash withdrawn for parts according to HSBC categorisation; retain receipts/details.</t>
  </si>
  <si>
    <t>M Raza</t>
  </si>
  <si>
    <t>OPTICIANS DIRECT LBOLTON</t>
  </si>
  <si>
    <t>Pandora Jewellery London</t>
  </si>
  <si>
    <t>TESCO MARKETPLACE WWW.TESCO.COM</t>
  </si>
  <si>
    <t>BANK PARK MANAGEMESHEFFIELD</t>
  </si>
  <si>
    <t>ALLEN D J S LO73 NUC</t>
  </si>
  <si>
    <t>MOHAMMED AHMED Sent from Revolut</t>
  </si>
  <si>
    <t>eBay O*12-14883-22London</t>
  </si>
  <si>
    <t>SELL YOUR MOTORBIKPl73twa</t>
  </si>
  <si>
    <t>B &amp; Q 1135 BRIGHTON</t>
  </si>
  <si>
    <t>eBay O*10-14896-71London</t>
  </si>
  <si>
    <t>eBay O*16-14886-56London</t>
  </si>
  <si>
    <t>GSF West Sussex</t>
  </si>
  <si>
    <t>DWB Trading — 2026–27 Bookkeeping Dashboard</t>
  </si>
  <si>
    <t>Key figure</t>
  </si>
  <si>
    <t>Amount</t>
  </si>
  <si>
    <t>Review status</t>
  </si>
  <si>
    <t>Count</t>
  </si>
  <si>
    <t>Needs category review</t>
  </si>
  <si>
    <t>Personal / excluded</t>
  </si>
  <si>
    <t>Missing receipt</t>
  </si>
  <si>
    <t>Accountant queries</t>
  </si>
  <si>
    <t>Latest bank balance</t>
  </si>
  <si>
    <t>Important: this is an estimate and categorisation aid, not an HMRC submission. Review every amber item and let the accountant confirm allowable expenses, stock and employment status.</t>
  </si>
  <si>
    <t>Quarter</t>
  </si>
  <si>
    <t>Income (£)</t>
  </si>
  <si>
    <t>Expenses (£)</t>
  </si>
  <si>
    <t>Profit (£)</t>
  </si>
  <si>
    <t>Q3: 6 Oct–5 Jan</t>
  </si>
  <si>
    <t>Q4: 6 Jan–5 Apr</t>
  </si>
  <si>
    <t>Full 2026–27</t>
  </si>
  <si>
    <t>MTD Quarterly Summary — Accountant Working Sheet</t>
  </si>
  <si>
    <t>Update</t>
  </si>
  <si>
    <t>Cumulative period</t>
  </si>
  <si>
    <t>Deadline</t>
  </si>
  <si>
    <t>Status / Notes</t>
  </si>
  <si>
    <t>Quarter 1</t>
  </si>
  <si>
    <t>6 Apr–5 Jul 2026</t>
  </si>
  <si>
    <t>Quarter 2</t>
  </si>
  <si>
    <t>6 Apr–5 Oct 2026</t>
  </si>
  <si>
    <t>Quarter 3</t>
  </si>
  <si>
    <t>6 Apr 2026–5 Jan 2027</t>
  </si>
  <si>
    <t>Quarter 4</t>
  </si>
  <si>
    <t>6 Apr 2026–5 Apr 2027</t>
  </si>
  <si>
    <t>Annual return</t>
  </si>
  <si>
    <t>Bike ID / Reg</t>
  </si>
  <si>
    <t>Purchase Date</t>
  </si>
  <si>
    <t>Make / Model</t>
  </si>
  <si>
    <t>Purchase Price (£)</t>
  </si>
  <si>
    <t>Purchase Costs (£)</t>
  </si>
  <si>
    <t>Parts / Prep (£)</t>
  </si>
  <si>
    <t>Status</t>
  </si>
  <si>
    <t>Sale Date</t>
  </si>
  <si>
    <t>Sale Price (£)</t>
  </si>
  <si>
    <t>Gross Profit (£)</t>
  </si>
  <si>
    <t>Customer / Source</t>
  </si>
  <si>
    <t>Journey / Purpose</t>
  </si>
  <si>
    <t>From</t>
  </si>
  <si>
    <t>To</t>
  </si>
  <si>
    <t>Vehicle</t>
  </si>
  <si>
    <t>Business Miles</t>
  </si>
  <si>
    <t>Rate (£/mile)</t>
  </si>
  <si>
    <t>Allowable Mileage (£)</t>
  </si>
  <si>
    <t>Categories</t>
  </si>
  <si>
    <t>Payment methods</t>
  </si>
  <si>
    <t>Business status</t>
  </si>
  <si>
    <t>Receipt status</t>
  </si>
  <si>
    <t>Income/Expense/Transfer</t>
  </si>
  <si>
    <t>VAT treatment</t>
  </si>
  <si>
    <t>2026–27 tax assumptions</t>
  </si>
  <si>
    <t>Value</t>
  </si>
  <si>
    <t>Personal Allowance</t>
  </si>
  <si>
    <t>VAT included</t>
  </si>
  <si>
    <t>Basic-rate upper total income</t>
  </si>
  <si>
    <t>Cash</t>
  </si>
  <si>
    <t>Mixed</t>
  </si>
  <si>
    <t>Query for accountant</t>
  </si>
  <si>
    <t>Transfer</t>
  </si>
  <si>
    <t>Zero-rated</t>
  </si>
  <si>
    <t>Income Tax basic rate</t>
  </si>
  <si>
    <t>Adjusted</t>
  </si>
  <si>
    <t>Outside scope</t>
  </si>
  <si>
    <t>Income Tax higher rate</t>
  </si>
  <si>
    <t>Standing Order</t>
  </si>
  <si>
    <t>Unknown</t>
  </si>
  <si>
    <t>Class 4 NI main rate</t>
  </si>
  <si>
    <t>Class 4 NI upper rate</t>
  </si>
  <si>
    <t>Cheque</t>
  </si>
  <si>
    <t>Other</t>
  </si>
  <si>
    <t>MTD standard periods</t>
  </si>
  <si>
    <t>Phone and Internet</t>
  </si>
  <si>
    <t>Insurance</t>
  </si>
  <si>
    <t>Bank Charges</t>
  </si>
  <si>
    <t>Rent and Premises</t>
  </si>
  <si>
    <t>Training</t>
  </si>
  <si>
    <t>Needs Review</t>
  </si>
  <si>
    <t>How to finish this workbook before sending it to an accountant</t>
  </si>
  <si>
    <t>Step</t>
  </si>
  <si>
    <t>What to do</t>
  </si>
  <si>
    <t>1</t>
  </si>
  <si>
    <t>Open Transactions and work through every amber “Needs Review” row.</t>
  </si>
  <si>
    <t>2</t>
  </si>
  <si>
    <t>Choose the correct Category, Business Status, Business Use %, Allowable? and Receipt Status.</t>
  </si>
  <si>
    <t>3</t>
  </si>
  <si>
    <t>Transfers between your own accounts and money taken personally should not be treated as business expenses.</t>
  </si>
  <si>
    <t>4</t>
  </si>
  <si>
    <t>For mixed costs, enter the business percentage only (for example 50%).</t>
  </si>
  <si>
    <t>5</t>
  </si>
  <si>
    <t>Enter each motorcycle bought for resale on Bike Stock, including unsold stock at 5 April.</t>
  </si>
  <si>
    <t>6</t>
  </si>
  <si>
    <t>Use Mileage only if claiming simplified mileage. Do not also claim the same vehicle’s fuel/running costs.</t>
  </si>
  <si>
    <t>7</t>
  </si>
  <si>
    <t>Add a short note or receipt/file link where the accountant may need evidence.</t>
  </si>
  <si>
    <t>8</t>
  </si>
  <si>
    <t>Check Dashboard and MTD Summary, then send the whole .xlsx file plus receipts/statements to the accountant.</t>
  </si>
  <si>
    <t>Important point</t>
  </si>
  <si>
    <t>Explanation</t>
  </si>
  <si>
    <t>MTD submission</t>
  </si>
  <si>
    <t>This workbook prepares records but does not submit them to HMRC.</t>
  </si>
  <si>
    <t>Tax estimate</t>
  </si>
  <si>
    <t>The dashboard estimate assumes England/Wales/Northern Ireland standard allowance and bands and no other taxable income or reliefs.</t>
  </si>
  <si>
    <t>Bike stock</t>
  </si>
  <si>
    <t>Purchases of bikes for resale need stock/cost-of-sales treatment, especially bikes still unsold at year end.</t>
  </si>
  <si>
    <t>Fuel vs mileage</t>
  </si>
  <si>
    <t>Your accountant should confirm whether actual vehicle costs or simplified mileage is best. Do not claim both for the same vehicle.</t>
  </si>
  <si>
    <t>Work for brother</t>
  </si>
  <si>
    <t>Ask the accountant to check whether the regular £140/day arrangement is correctly treated as self-employed income.</t>
  </si>
  <si>
    <t>Limited company</t>
  </si>
  <si>
    <t>Do not move old sole-trader transactions into a new company. Use a clear incorporation/changeover date if advised.</t>
  </si>
  <si>
    <t>Privacy</t>
  </si>
  <si>
    <t>Do not share your UTR or HMRC login details in this workbook.</t>
  </si>
  <si>
    <t>HSBC screenshot update</t>
  </si>
  <si>
    <t>107 visible HSBC transactions from 20 April to 17 July 2026 were matched and marked Reviewed.</t>
  </si>
  <si>
    <t>Owner drawings correction</t>
  </si>
  <si>
    <t>Monthly personal withdrawals were changed from HSBC's staff-wages category to Owner Drawings and excluded from deductible expenses.</t>
  </si>
  <si>
    <t>Bike purchase</t>
  </si>
  <si>
    <t>The £7,400 Gabor Dams payment is recorded as Bike Purchases (Stock). Add the motorcycle details to Bike Stock.</t>
  </si>
  <si>
    <t>Remaining review rows</t>
  </si>
  <si>
    <t>Transactions not visible in the screenshots remain unchanged and may still need review.</t>
  </si>
  <si>
    <t>Current tax year only: 6 April 2026 to 5 April 2027</t>
  </si>
  <si>
    <t>Tax planning — run-rate estimate</t>
  </si>
  <si>
    <t>Business income — current tax year</t>
  </si>
  <si>
    <t>Latest transaction date</t>
  </si>
  <si>
    <t>Allowable expenses — current tax year</t>
  </si>
  <si>
    <t>Days recorded in tax year</t>
  </si>
  <si>
    <t>Profit recorded so far</t>
  </si>
  <si>
    <t>Income Tax estimate on profit so far</t>
  </si>
  <si>
    <t>Projected annual profit</t>
  </si>
  <si>
    <t>Class 4 NI estimate on profit so far</t>
  </si>
  <si>
    <t>Tax-year transactions</t>
  </si>
  <si>
    <t>Projected Income Tax</t>
  </si>
  <si>
    <t>Tax and NI estimate so far</t>
  </si>
  <si>
    <t>Projected Class 4 NI</t>
  </si>
  <si>
    <t>Suggested projected reserve</t>
  </si>
  <si>
    <t>Run-rate projection assumes the profit pace to the latest transaction date continues for the full year. It is a budgeting guide, not an amount currently payable.</t>
  </si>
  <si>
    <t>Quarterly update due 7 Aug 2026 — no tax payment is due with this update</t>
  </si>
  <si>
    <t>Quarterly update due 7 Nov 2026</t>
  </si>
  <si>
    <t>Quarterly update due 7 Feb 2027</t>
  </si>
  <si>
    <t>Quarterly update due 7 May 2027</t>
  </si>
  <si>
    <t>Final tax return and balancing payment due 31 Jan 2028</t>
  </si>
  <si>
    <t>Quarterly updates report cumulative income and expenses. They are not quarterly tax bills. The final Income Tax and National Insurance position is calculated on the annual return.</t>
  </si>
  <si>
    <t>Useful category guidance</t>
  </si>
  <si>
    <t>Use category</t>
  </si>
  <si>
    <t>Example note</t>
  </si>
  <si>
    <t>Workshop T-shirts/uniform</t>
  </si>
  <si>
    <t>Work Clothing / Uniform</t>
  </si>
  <si>
    <t>Regatta shirts bought only for workshop use</t>
  </si>
  <si>
    <t>Flights/trains for supplier trip</t>
  </si>
  <si>
    <t>Milan supplier and parts sourcing trip</t>
  </si>
  <si>
    <t>Hotel paid by you</t>
  </si>
  <si>
    <t>Accommodation</t>
  </si>
  <si>
    <t>Business accommodation for supplier trip</t>
  </si>
  <si>
    <t>Meals while away for business</t>
  </si>
  <si>
    <t>Travel and Subsistence</t>
  </si>
  <si>
    <t>Subsistence during two-day business trip</t>
  </si>
  <si>
    <t>Trade fair/supplier visit fees</t>
  </si>
  <si>
    <t>Trade Shows / Supplier Sourcing</t>
  </si>
  <si>
    <t>Supplier research and product sourcing</t>
  </si>
  <si>
    <t>Tax-year dashboard</t>
  </si>
  <si>
    <t>Dashboard totals now include only transactions dated 6 April 2026 to 5 April 2027.</t>
  </si>
  <si>
    <t>Current estimate</t>
  </si>
  <si>
    <t>Tax and NI estimate so far uses profit actually recorded to date and the full annual Personal Allowance.</t>
  </si>
  <si>
    <t>Run-rate estimate</t>
  </si>
  <si>
    <t>A separate annual projection helps you decide how much to reserve, but it is not a tax bill.</t>
  </si>
  <si>
    <t>Business travel</t>
  </si>
  <si>
    <t>Use Travel and Parking for flights, trains, taxis and parking. Record the business purpose in Notes.</t>
  </si>
  <si>
    <t>Work clothing</t>
  </si>
  <si>
    <t>Use Work Clothing / Uniform for clothing bought specifically for workshop or uniform use; keep receipts and explain the purpose.</t>
  </si>
  <si>
    <t>DWB Trading — 2026–27 Tax Estimate</t>
  </si>
  <si>
    <t>Recorded position</t>
  </si>
  <si>
    <t>Run-rate planning</t>
  </si>
  <si>
    <t>Income recorded in 2026–27</t>
  </si>
  <si>
    <t>Allowable expenses recorded</t>
  </si>
  <si>
    <t>Days recorded</t>
  </si>
  <si>
    <t>Estimated Income Tax so far</t>
  </si>
  <si>
    <t>Estimated Class 4 NI so far</t>
  </si>
  <si>
    <t>Estimated total tax and NI so far</t>
  </si>
  <si>
    <t>Important: the recorded estimate applies the annual Personal Allowance to the profit entered so far, so it may show £0 until profit exceeds the threshold. The run-rate section is for saving and budgeting only. Other personal income, student loans, pension contributions, benefits, capital allowances and accountant adjustments can change the final bill.</t>
  </si>
  <si>
    <t>2026–27 assumptions</t>
  </si>
  <si>
    <t>Official source</t>
  </si>
  <si>
    <t>URL</t>
  </si>
  <si>
    <t>Checked</t>
  </si>
  <si>
    <t>Income Tax rates</t>
  </si>
  <si>
    <t>https://www.gov.uk/income-tax-rates</t>
  </si>
  <si>
    <t>19 Jul 2026</t>
  </si>
  <si>
    <t>Higher-rate threshold</t>
  </si>
  <si>
    <t>Self-employed NI rates</t>
  </si>
  <si>
    <t>https://www.gov.uk/self-employed-national-insurance-rates</t>
  </si>
  <si>
    <t>MTD quarterly updates</t>
  </si>
  <si>
    <t>https://www.gov.uk/guidance/use-making-tax-digital-for-income-tax/send-quarterly-updates</t>
  </si>
  <si>
    <t>ignore refund</t>
  </si>
  <si>
    <t>ignore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</si>
</sst>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\£#,##0.00;[Red]\(\£#,##0.00\);\-"/>
  </numFmts>
  <fonts count="15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8"/>
      <color rgb="FFFFFFFF"/>
      <name val="Carlito"/>
    </font>
    <font>
      <b/>
      <sz val="11"/>
      <name val="Carlito"/>
    </font>
    <font>
      <b/>
      <sz val="17"/>
      <color rgb="FFFFFFFF"/>
      <name val="Carlito"/>
    </font>
    <font>
      <sz val="10"/>
      <color rgb="FF0000FF"/>
      <name val="Carlito"/>
    </font>
    <font>
      <sz val="11"/>
      <color rgb="FF0000FF"/>
      <name val="Carlito"/>
    </font>
    <font>
      <sz val="10"/>
      <color rgb="FF000000"/>
      <name val="Carlito"/>
    </font>
    <font>
      <sz val="11"/>
      <color rgb="FF000000"/>
      <name val="Carlito"/>
    </font>
    <font>
      <b/>
      <i/>
      <sz val="18"/>
      <color rgb="FF404040"/>
      <name val="Carlito"/>
    </font>
    <font>
      <b/>
      <i/>
      <sz val="11"/>
      <color rgb="FF7F6000"/>
      <name val="Carlito"/>
    </font>
    <font>
      <i/>
      <sz val="11"/>
      <color rgb="FF7F6000"/>
      <name val="Carlito"/>
    </font>
    <font>
      <b/>
      <sz val="11"/>
      <color rgb="FF7F6000"/>
      <name val="Carlito"/>
    </font>
    <font>
      <b/>
      <sz val="16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3263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7365D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165" fontId="0" fillId="0" borderId="0" xfId="0" applyNumberFormat="1"/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2" fillId="0" borderId="0" xfId="0" applyFont="1" applyAlignment="1">
      <alignment wrapText="1"/>
    </xf>
    <xf numFmtId="0" fontId="1" fillId="3" borderId="0" xfId="0" applyFont="1" applyFill="1"/>
    <xf numFmtId="0" fontId="4" fillId="0" borderId="1" xfId="0" applyFont="1" applyBorder="1"/>
    <xf numFmtId="165" fontId="4" fillId="0" borderId="1" xfId="0" applyNumberFormat="1" applyFont="1" applyBorder="1"/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9" fontId="6" fillId="0" borderId="0" xfId="0" applyNumberFormat="1" applyFont="1"/>
    <xf numFmtId="0" fontId="7" fillId="0" borderId="0" xfId="0" applyFont="1"/>
    <xf numFmtId="164" fontId="7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65" fontId="9" fillId="0" borderId="0" xfId="0" applyNumberFormat="1" applyFont="1"/>
    <xf numFmtId="0" fontId="1" fillId="5" borderId="0" xfId="0" applyFont="1" applyFill="1" applyAlignment="1">
      <alignment wrapText="1"/>
    </xf>
    <xf numFmtId="0" fontId="1" fillId="6" borderId="0" xfId="0" applyFont="1" applyFill="1"/>
    <xf numFmtId="0" fontId="12" fillId="7" borderId="0" xfId="0" applyFont="1" applyFill="1" applyAlignment="1">
      <alignment vertical="center" wrapText="1"/>
    </xf>
    <xf numFmtId="1" fontId="0" fillId="0" borderId="0" xfId="0" applyNumberFormat="1"/>
    <xf numFmtId="0" fontId="4" fillId="0" borderId="0" xfId="0" applyFont="1"/>
    <xf numFmtId="0" fontId="4" fillId="0" borderId="2" xfId="0" applyFont="1" applyBorder="1"/>
    <xf numFmtId="164" fontId="0" fillId="0" borderId="2" xfId="0" applyNumberFormat="1" applyBorder="1"/>
    <xf numFmtId="0" fontId="4" fillId="0" borderId="3" xfId="0" applyFont="1" applyBorder="1"/>
    <xf numFmtId="165" fontId="0" fillId="0" borderId="3" xfId="0" applyNumberFormat="1" applyBorder="1"/>
    <xf numFmtId="0" fontId="4" fillId="8" borderId="0" xfId="0" applyFont="1" applyFill="1"/>
    <xf numFmtId="0" fontId="4" fillId="8" borderId="0" xfId="0" applyFont="1" applyFill="1" applyAlignment="1">
      <alignment wrapText="1"/>
    </xf>
    <xf numFmtId="9" fontId="0" fillId="0" borderId="0" xfId="0" applyNumberFormat="1"/>
    <xf numFmtId="0" fontId="1" fillId="6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4" fillId="4" borderId="0" xfId="0" applyFont="1" applyFill="1" applyAlignment="1">
      <alignment wrapText="1"/>
    </xf>
    <xf numFmtId="0" fontId="11" fillId="7" borderId="0" xfId="0" applyFont="1" applyFill="1" applyAlignment="1">
      <alignment vertical="center" wrapText="1"/>
    </xf>
    <xf numFmtId="0" fontId="1" fillId="6" borderId="0" xfId="0" applyFont="1" applyFill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13" fillId="7" borderId="0" xfId="0" applyFont="1" applyFill="1" applyAlignment="1">
      <alignment vertical="center" wrapText="1"/>
    </xf>
    <xf numFmtId="0" fontId="1" fillId="6" borderId="0" xfId="0" applyFont="1" applyFill="1"/>
    <xf numFmtId="0" fontId="14" fillId="9" borderId="0" xfId="0" applyFont="1" applyFill="1" applyAlignment="1">
      <alignment horizontal="left"/>
    </xf>
  </cellXfs>
  <cellStyles count="1">
    <cellStyle name="Normal" xfId="0" builtinId="0"/>
  </cellStyles>
  <dxfs count="5"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ont>
        <b/>
      </font>
      <fill>
        <patternFill>
          <bgColor rgb="FFFFF2CC"/>
        </patternFill>
      </fill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Quarterly Income, Expenses and Profit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 (£)</c:v>
          </c:tx>
          <c:invertIfNegative val="1"/>
          <c:cat>
            <c:strRef>
              <c:f>Dashboard!$A$17:$A$20</c:f>
              <c:strCache>
                <c:ptCount val="4"/>
                <c:pt idx="0">
                  <c:v>Q1: 6 Apr–5 Jul</c:v>
                </c:pt>
                <c:pt idx="1">
                  <c:v>Q2: 6 Jul–5 Oct</c:v>
                </c:pt>
                <c:pt idx="2">
                  <c:v>Q3: 6 Oct–5 Jan</c:v>
                </c:pt>
                <c:pt idx="3">
                  <c:v>Q4: 6 Jan–5 Apr</c:v>
                </c:pt>
              </c:strCache>
            </c:strRef>
          </c:cat>
          <c:val>
            <c:numRef>
              <c:f>Dashboard!$B$17:$B$20</c:f>
              <c:numCache>
                <c:formatCode>\£#,##0.00;[Red]\(\£#,##0.00\);\-</c:formatCode>
                <c:ptCount val="4"/>
                <c:pt idx="0">
                  <c:v>15420.77</c:v>
                </c:pt>
                <c:pt idx="1">
                  <c:v>6577.15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6-4EAD-B633-0A6BF4383769}"/>
            </c:ext>
          </c:extLst>
        </c:ser>
        <c:ser>
          <c:idx val="1"/>
          <c:order val="1"/>
          <c:tx>
            <c:v>Expenses (£)</c:v>
          </c:tx>
          <c:invertIfNegative val="1"/>
          <c:cat>
            <c:strRef>
              <c:f>Dashboard!$A$17:$A$20</c:f>
              <c:strCache>
                <c:ptCount val="4"/>
                <c:pt idx="0">
                  <c:v>Q1: 6 Apr–5 Jul</c:v>
                </c:pt>
                <c:pt idx="1">
                  <c:v>Q2: 6 Jul–5 Oct</c:v>
                </c:pt>
                <c:pt idx="2">
                  <c:v>Q3: 6 Oct–5 Jan</c:v>
                </c:pt>
                <c:pt idx="3">
                  <c:v>Q4: 6 Jan–5 Apr</c:v>
                </c:pt>
              </c:strCache>
            </c:strRef>
          </c:cat>
          <c:val>
            <c:numRef>
              <c:f>Dashboard!$C$17:$C$20</c:f>
              <c:numCache>
                <c:formatCode>\£#,##0.00;[Red]\(\£#,##0.00\);\-</c:formatCode>
                <c:ptCount val="4"/>
                <c:pt idx="0">
                  <c:v>9857.6800000000057</c:v>
                </c:pt>
                <c:pt idx="1">
                  <c:v>1152.8900000000001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66-4EAD-B633-0A6BF4383769}"/>
            </c:ext>
          </c:extLst>
        </c:ser>
        <c:ser>
          <c:idx val="2"/>
          <c:order val="2"/>
          <c:tx>
            <c:v>Profit (£)</c:v>
          </c:tx>
          <c:invertIfNegative val="1"/>
          <c:cat>
            <c:strRef>
              <c:f>Dashboard!$A$17:$A$20</c:f>
              <c:strCache>
                <c:ptCount val="4"/>
                <c:pt idx="0">
                  <c:v>Q1: 6 Apr–5 Jul</c:v>
                </c:pt>
                <c:pt idx="1">
                  <c:v>Q2: 6 Jul–5 Oct</c:v>
                </c:pt>
                <c:pt idx="2">
                  <c:v>Q3: 6 Oct–5 Jan</c:v>
                </c:pt>
                <c:pt idx="3">
                  <c:v>Q4: 6 Jan–5 Apr</c:v>
                </c:pt>
              </c:strCache>
            </c:strRef>
          </c:cat>
          <c:val>
            <c:numRef>
              <c:f>Dashboard!$D$17:$D$20</c:f>
              <c:numCache>
                <c:formatCode>\£#,##0.00;[Red]\(\£#,##0.00\);\-</c:formatCode>
                <c:ptCount val="4"/>
                <c:pt idx="0">
                  <c:v>5563.0899999999947</c:v>
                </c:pt>
                <c:pt idx="1">
                  <c:v>5424.2599999999993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66-4EAD-B633-0A6BF4383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.00;[Red]\(\£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Table" displayName="TransactionsTable" ref="A1:U228">
  <tableColumns count="21">
    <tableColumn id="1" xr3:uid="{00000000-0010-0000-0000-000001000000}" name="Date"/>
    <tableColumn id="2" xr3:uid="{00000000-0010-0000-0000-000002000000}" name="Bank Type"/>
    <tableColumn id="3" xr3:uid="{00000000-0010-0000-0000-000003000000}" name="Description"/>
    <tableColumn id="4" xr3:uid="{00000000-0010-0000-0000-000004000000}" name="Original Amount (£)"/>
    <tableColumn id="5" xr3:uid="{00000000-0010-0000-0000-000005000000}" name="Direction"/>
    <tableColumn id="6" xr3:uid="{00000000-0010-0000-0000-000006000000}" name="Payment Method"/>
    <tableColumn id="7" xr3:uid="{00000000-0010-0000-0000-000007000000}" name="Category"/>
    <tableColumn id="8" xr3:uid="{00000000-0010-0000-0000-000008000000}" name="Subcategory / Detail"/>
    <tableColumn id="9" xr3:uid="{00000000-0010-0000-0000-000009000000}" name="Business Status"/>
    <tableColumn id="10" xr3:uid="{00000000-0010-0000-0000-00000A000000}" name="Business Use %"/>
    <tableColumn id="11" xr3:uid="{00000000-0010-0000-0000-00000B000000}" name="Allowable?"/>
    <tableColumn id="12" xr3:uid="{00000000-0010-0000-0000-00000C000000}" name="Allowable Income (£)"/>
    <tableColumn id="13" xr3:uid="{00000000-0010-0000-0000-00000D000000}" name="Allowable Expense (£)"/>
    <tableColumn id="14" xr3:uid="{00000000-0010-0000-0000-00000E000000}" name="VAT Treatment"/>
    <tableColumn id="15" xr3:uid="{00000000-0010-0000-0000-00000F000000}" name="Receipt Status"/>
    <tableColumn id="16" xr3:uid="{00000000-0010-0000-0000-000010000000}" name="Receipt / File Link"/>
    <tableColumn id="17" xr3:uid="{00000000-0010-0000-0000-000011000000}" name="Bike / Job Ref"/>
    <tableColumn id="18" xr3:uid="{00000000-0010-0000-0000-000012000000}" name="MTD Quarter"/>
    <tableColumn id="19" xr3:uid="{00000000-0010-0000-0000-000013000000}" name="Notes"/>
    <tableColumn id="20" xr3:uid="{00000000-0010-0000-0000-000014000000}" name="Accountant Review"/>
    <tableColumn id="21" xr3:uid="{00000000-0010-0000-0000-000015000000}" name="Bank Balance (£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keStockTable" displayName="BikeStockTable" ref="A1:L101">
  <tableColumns count="12">
    <tableColumn id="1" xr3:uid="{00000000-0010-0000-0100-000001000000}" name="Bike ID / Reg"/>
    <tableColumn id="2" xr3:uid="{00000000-0010-0000-0100-000002000000}" name="Purchase Date"/>
    <tableColumn id="3" xr3:uid="{00000000-0010-0000-0100-000003000000}" name="Make / Model"/>
    <tableColumn id="4" xr3:uid="{00000000-0010-0000-0100-000004000000}" name="Purchase Price (£)"/>
    <tableColumn id="5" xr3:uid="{00000000-0010-0000-0100-000005000000}" name="Purchase Costs (£)"/>
    <tableColumn id="6" xr3:uid="{00000000-0010-0000-0100-000006000000}" name="Parts / Prep (£)"/>
    <tableColumn id="7" xr3:uid="{00000000-0010-0000-0100-000007000000}" name="Status"/>
    <tableColumn id="8" xr3:uid="{00000000-0010-0000-0100-000008000000}" name="Sale Date"/>
    <tableColumn id="9" xr3:uid="{00000000-0010-0000-0100-000009000000}" name="Sale Price (£)"/>
    <tableColumn id="10" xr3:uid="{00000000-0010-0000-0100-00000A000000}" name="Gross Profit (£)"/>
    <tableColumn id="11" xr3:uid="{00000000-0010-0000-0100-00000B000000}" name="Customer / Source"/>
    <tableColumn id="12" xr3:uid="{00000000-0010-0000-0100-00000C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ileageTable" displayName="MileageTable" ref="A1:I301">
  <tableColumns count="9">
    <tableColumn id="1" xr3:uid="{00000000-0010-0000-0200-000001000000}" name="Date"/>
    <tableColumn id="2" xr3:uid="{00000000-0010-0000-0200-000002000000}" name="Journey / Purpose"/>
    <tableColumn id="3" xr3:uid="{00000000-0010-0000-0200-000003000000}" name="From"/>
    <tableColumn id="4" xr3:uid="{00000000-0010-0000-0200-000004000000}" name="To"/>
    <tableColumn id="5" xr3:uid="{00000000-0010-0000-0200-000005000000}" name="Vehicle"/>
    <tableColumn id="6" xr3:uid="{00000000-0010-0000-0200-000006000000}" name="Business Miles"/>
    <tableColumn id="7" xr3:uid="{00000000-0010-0000-0200-000007000000}" name="Rate (£/mile)"/>
    <tableColumn id="8" xr3:uid="{00000000-0010-0000-0200-000008000000}" name="Allowable Mileage (£)"/>
    <tableColumn id="9" xr3:uid="{00000000-0010-0000-0200-000009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8"/>
  <sheetViews>
    <sheetView tabSelected="1" topLeftCell="A205" workbookViewId="0">
      <selection activeCell="K132" sqref="K132"/>
    </sheetView>
  </sheetViews>
  <sheetFormatPr defaultRowHeight="14.25"/>
  <cols>
    <col min="1" max="1" width="12" customWidth="1"/>
    <col min="2" max="2" width="10" customWidth="1"/>
    <col min="3" max="3" width="34" customWidth="1"/>
    <col min="4" max="4" width="15" customWidth="1"/>
    <col min="5" max="5" width="12" customWidth="1"/>
    <col min="6" max="6" width="16" customWidth="1"/>
    <col min="7" max="7" width="27" customWidth="1"/>
    <col min="8" max="8" width="24" customWidth="1"/>
    <col min="9" max="9" width="15" customWidth="1"/>
    <col min="10" max="11" width="12" customWidth="1"/>
    <col min="12" max="12" width="17" customWidth="1"/>
    <col min="13" max="13" width="18" customWidth="1"/>
    <col min="14" max="14" width="17" customWidth="1"/>
    <col min="15" max="15" width="14" customWidth="1"/>
    <col min="16" max="16" width="25" customWidth="1"/>
    <col min="17" max="17" width="16" customWidth="1"/>
    <col min="18" max="18" width="19" customWidth="1"/>
    <col min="19" max="19" width="28" customWidth="1"/>
    <col min="20" max="20" width="19" customWidth="1"/>
    <col min="21" max="21" width="15" customWidth="1"/>
  </cols>
  <sheetData>
    <row r="1" spans="1:21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6">
        <v>45901</v>
      </c>
      <c r="B2" s="7" t="s">
        <v>21</v>
      </c>
      <c r="C2" s="9" t="s">
        <v>22</v>
      </c>
      <c r="D2" s="8">
        <v>-9.85</v>
      </c>
      <c r="E2" s="7" t="s">
        <v>23</v>
      </c>
      <c r="F2" s="15" t="s">
        <v>24</v>
      </c>
      <c r="G2" s="15" t="s">
        <v>25</v>
      </c>
      <c r="H2" s="16"/>
      <c r="I2" s="15" t="s">
        <v>26</v>
      </c>
      <c r="J2" s="17">
        <v>1</v>
      </c>
      <c r="K2" s="15" t="s">
        <v>27</v>
      </c>
      <c r="L2" s="21">
        <f t="shared" ref="L2:L65" si="0">IF(AND($E2="Income",$I2="Business",$K2="Yes"),MAX($D2,0)*$J2,0)</f>
        <v>0</v>
      </c>
      <c r="M2" s="21">
        <f t="shared" ref="M2:M65" si="1">IF(AND($E2="Expense",OR($I2="Business",$I2="Mixed"),OR($K2="Yes",$K2="Stock")),ABS(MIN($D2,0))*$J2,0)</f>
        <v>9.85</v>
      </c>
      <c r="N2" s="15" t="s">
        <v>28</v>
      </c>
      <c r="O2" s="15" t="s">
        <v>29</v>
      </c>
      <c r="P2" s="15"/>
      <c r="Q2" s="15"/>
      <c r="R2" s="15" t="s">
        <v>30</v>
      </c>
      <c r="S2" s="16"/>
      <c r="T2" s="15" t="s">
        <v>31</v>
      </c>
      <c r="U2" s="8">
        <v>850.15</v>
      </c>
    </row>
    <row r="3" spans="1:21">
      <c r="A3" s="6">
        <v>45901</v>
      </c>
      <c r="B3" s="7" t="s">
        <v>32</v>
      </c>
      <c r="C3" s="9" t="s">
        <v>33</v>
      </c>
      <c r="D3" s="8">
        <v>160</v>
      </c>
      <c r="E3" s="7" t="s">
        <v>34</v>
      </c>
      <c r="F3" s="15" t="s">
        <v>24</v>
      </c>
      <c r="G3" s="15" t="s">
        <v>35</v>
      </c>
      <c r="H3" s="16"/>
      <c r="I3" s="15" t="s">
        <v>26</v>
      </c>
      <c r="J3" s="17">
        <v>1</v>
      </c>
      <c r="K3" s="15" t="s">
        <v>27</v>
      </c>
      <c r="L3" s="21">
        <f t="shared" si="0"/>
        <v>160</v>
      </c>
      <c r="M3" s="21">
        <f t="shared" si="1"/>
        <v>0</v>
      </c>
      <c r="N3" s="15" t="s">
        <v>28</v>
      </c>
      <c r="O3" s="15" t="s">
        <v>29</v>
      </c>
      <c r="P3" s="15"/>
      <c r="Q3" s="15"/>
      <c r="R3" s="15" t="s">
        <v>30</v>
      </c>
      <c r="S3" s="16"/>
      <c r="T3" s="15" t="s">
        <v>31</v>
      </c>
      <c r="U3" s="8">
        <v>860</v>
      </c>
    </row>
    <row r="4" spans="1:21">
      <c r="A4" s="6">
        <v>45901</v>
      </c>
      <c r="B4" s="7" t="s">
        <v>21</v>
      </c>
      <c r="C4" s="9" t="s">
        <v>36</v>
      </c>
      <c r="D4" s="8">
        <v>-1800</v>
      </c>
      <c r="E4" s="7" t="s">
        <v>23</v>
      </c>
      <c r="F4" s="15" t="s">
        <v>24</v>
      </c>
      <c r="G4" s="15" t="s">
        <v>37</v>
      </c>
      <c r="H4" s="16"/>
      <c r="I4" s="15" t="s">
        <v>26</v>
      </c>
      <c r="J4" s="17">
        <v>1</v>
      </c>
      <c r="K4" s="15" t="s">
        <v>162</v>
      </c>
      <c r="L4" s="21">
        <f t="shared" si="0"/>
        <v>0</v>
      </c>
      <c r="M4" s="21">
        <f t="shared" si="1"/>
        <v>1800</v>
      </c>
      <c r="N4" s="15" t="s">
        <v>28</v>
      </c>
      <c r="O4" s="15" t="s">
        <v>29</v>
      </c>
      <c r="P4" s="15"/>
      <c r="Q4" s="15"/>
      <c r="R4" s="15" t="s">
        <v>30</v>
      </c>
      <c r="S4" s="16"/>
      <c r="T4" s="15" t="s">
        <v>31</v>
      </c>
      <c r="U4" s="8">
        <v>700</v>
      </c>
    </row>
    <row r="5" spans="1:21">
      <c r="A5" s="6">
        <v>45901</v>
      </c>
      <c r="B5" s="7" t="s">
        <v>32</v>
      </c>
      <c r="C5" s="9" t="s">
        <v>38</v>
      </c>
      <c r="D5" s="8">
        <v>2500</v>
      </c>
      <c r="E5" s="7" t="s">
        <v>34</v>
      </c>
      <c r="F5" s="15" t="s">
        <v>24</v>
      </c>
      <c r="G5" s="15" t="s">
        <v>35</v>
      </c>
      <c r="H5" s="16"/>
      <c r="I5" s="15" t="s">
        <v>26</v>
      </c>
      <c r="J5" s="17">
        <v>1</v>
      </c>
      <c r="K5" s="15" t="s">
        <v>27</v>
      </c>
      <c r="L5" s="21">
        <f t="shared" si="0"/>
        <v>2500</v>
      </c>
      <c r="M5" s="21">
        <f t="shared" si="1"/>
        <v>0</v>
      </c>
      <c r="N5" s="15" t="s">
        <v>28</v>
      </c>
      <c r="O5" s="15" t="s">
        <v>29</v>
      </c>
      <c r="P5" s="15"/>
      <c r="Q5" s="15"/>
      <c r="R5" s="15" t="s">
        <v>30</v>
      </c>
      <c r="S5" s="16"/>
      <c r="T5" s="15" t="s">
        <v>31</v>
      </c>
      <c r="U5" s="8">
        <v>2500</v>
      </c>
    </row>
    <row r="6" spans="1:21">
      <c r="A6" s="6">
        <v>45903</v>
      </c>
      <c r="B6" s="7" t="s">
        <v>21</v>
      </c>
      <c r="C6" s="9" t="s">
        <v>22</v>
      </c>
      <c r="D6" s="8">
        <v>-9.85</v>
      </c>
      <c r="E6" s="7" t="s">
        <v>23</v>
      </c>
      <c r="F6" s="15" t="s">
        <v>24</v>
      </c>
      <c r="G6" s="15" t="s">
        <v>25</v>
      </c>
      <c r="H6" s="16"/>
      <c r="I6" s="15" t="s">
        <v>26</v>
      </c>
      <c r="J6" s="17">
        <v>1</v>
      </c>
      <c r="K6" s="15" t="s">
        <v>27</v>
      </c>
      <c r="L6" s="21">
        <f t="shared" si="0"/>
        <v>0</v>
      </c>
      <c r="M6" s="21">
        <f t="shared" si="1"/>
        <v>9.85</v>
      </c>
      <c r="N6" s="15" t="s">
        <v>28</v>
      </c>
      <c r="O6" s="15" t="s">
        <v>29</v>
      </c>
      <c r="P6" s="15"/>
      <c r="Q6" s="15"/>
      <c r="R6" s="15" t="s">
        <v>30</v>
      </c>
      <c r="S6" s="16"/>
      <c r="T6" s="15" t="s">
        <v>31</v>
      </c>
      <c r="U6" s="8">
        <v>840.3</v>
      </c>
    </row>
    <row r="7" spans="1:21">
      <c r="A7" s="6">
        <v>45903</v>
      </c>
      <c r="B7" s="7" t="s">
        <v>32</v>
      </c>
      <c r="C7" s="9" t="s">
        <v>39</v>
      </c>
      <c r="D7" s="8">
        <v>350</v>
      </c>
      <c r="E7" s="7" t="s">
        <v>34</v>
      </c>
      <c r="F7" s="15" t="s">
        <v>24</v>
      </c>
      <c r="G7" s="15" t="s">
        <v>35</v>
      </c>
      <c r="H7" s="16"/>
      <c r="I7" s="15" t="s">
        <v>26</v>
      </c>
      <c r="J7" s="17">
        <v>1</v>
      </c>
      <c r="K7" s="15" t="s">
        <v>27</v>
      </c>
      <c r="L7" s="21">
        <f t="shared" si="0"/>
        <v>350</v>
      </c>
      <c r="M7" s="21">
        <f t="shared" si="1"/>
        <v>0</v>
      </c>
      <c r="N7" s="15" t="s">
        <v>28</v>
      </c>
      <c r="O7" s="15" t="s">
        <v>29</v>
      </c>
      <c r="P7" s="15"/>
      <c r="Q7" s="15"/>
      <c r="R7" s="15" t="s">
        <v>30</v>
      </c>
      <c r="S7" s="16"/>
      <c r="T7" s="15" t="s">
        <v>31</v>
      </c>
      <c r="U7" s="8">
        <v>850.15</v>
      </c>
    </row>
    <row r="8" spans="1:21">
      <c r="A8" s="6">
        <v>45903</v>
      </c>
      <c r="B8" s="7" t="s">
        <v>21</v>
      </c>
      <c r="C8" s="9" t="s">
        <v>40</v>
      </c>
      <c r="D8" s="8">
        <v>-350</v>
      </c>
      <c r="E8" s="7" t="s">
        <v>23</v>
      </c>
      <c r="F8" s="15" t="s">
        <v>24</v>
      </c>
      <c r="G8" s="15" t="s">
        <v>37</v>
      </c>
      <c r="H8" s="16"/>
      <c r="I8" s="15" t="s">
        <v>26</v>
      </c>
      <c r="J8" s="17">
        <v>1</v>
      </c>
      <c r="K8" s="15" t="s">
        <v>162</v>
      </c>
      <c r="L8" s="21">
        <f t="shared" si="0"/>
        <v>0</v>
      </c>
      <c r="M8" s="21">
        <f t="shared" si="1"/>
        <v>350</v>
      </c>
      <c r="N8" s="15" t="s">
        <v>28</v>
      </c>
      <c r="O8" s="15" t="s">
        <v>29</v>
      </c>
      <c r="P8" s="15"/>
      <c r="Q8" s="15"/>
      <c r="R8" s="15" t="s">
        <v>30</v>
      </c>
      <c r="S8" s="16"/>
      <c r="T8" s="15" t="s">
        <v>31</v>
      </c>
      <c r="U8" s="8">
        <v>500.15</v>
      </c>
    </row>
    <row r="9" spans="1:21">
      <c r="A9" s="6">
        <v>45909</v>
      </c>
      <c r="B9" s="7" t="s">
        <v>32</v>
      </c>
      <c r="C9" s="9" t="s">
        <v>41</v>
      </c>
      <c r="D9" s="8">
        <v>80</v>
      </c>
      <c r="E9" s="7" t="s">
        <v>34</v>
      </c>
      <c r="F9" s="15" t="s">
        <v>24</v>
      </c>
      <c r="G9" s="15" t="s">
        <v>35</v>
      </c>
      <c r="H9" s="16"/>
      <c r="I9" s="15" t="s">
        <v>26</v>
      </c>
      <c r="J9" s="17">
        <v>1</v>
      </c>
      <c r="K9" s="15" t="s">
        <v>27</v>
      </c>
      <c r="L9" s="21">
        <f t="shared" si="0"/>
        <v>80</v>
      </c>
      <c r="M9" s="21">
        <f t="shared" si="1"/>
        <v>0</v>
      </c>
      <c r="N9" s="15" t="s">
        <v>28</v>
      </c>
      <c r="O9" s="15" t="s">
        <v>29</v>
      </c>
      <c r="P9" s="15"/>
      <c r="Q9" s="15"/>
      <c r="R9" s="15" t="s">
        <v>30</v>
      </c>
      <c r="S9" s="16"/>
      <c r="T9" s="15" t="s">
        <v>31</v>
      </c>
      <c r="U9" s="8">
        <v>920.3</v>
      </c>
    </row>
    <row r="10" spans="1:21">
      <c r="A10" s="6">
        <v>45914</v>
      </c>
      <c r="B10" s="7" t="s">
        <v>21</v>
      </c>
      <c r="C10" s="9" t="s">
        <v>42</v>
      </c>
      <c r="D10" s="8">
        <v>-100</v>
      </c>
      <c r="E10" s="7" t="s">
        <v>23</v>
      </c>
      <c r="F10" s="15" t="s">
        <v>24</v>
      </c>
      <c r="G10" s="15" t="s">
        <v>43</v>
      </c>
      <c r="H10" s="16" t="s">
        <v>421</v>
      </c>
      <c r="I10" s="15" t="s">
        <v>26</v>
      </c>
      <c r="J10" s="17">
        <v>1</v>
      </c>
      <c r="K10" s="15" t="s">
        <v>44</v>
      </c>
      <c r="L10" s="21">
        <f t="shared" si="0"/>
        <v>0</v>
      </c>
      <c r="M10" s="21">
        <f t="shared" si="1"/>
        <v>0</v>
      </c>
      <c r="N10" s="15" t="s">
        <v>28</v>
      </c>
      <c r="O10" s="15" t="s">
        <v>29</v>
      </c>
      <c r="P10" s="15"/>
      <c r="Q10" s="15"/>
      <c r="R10" s="15" t="s">
        <v>30</v>
      </c>
      <c r="S10" s="16"/>
      <c r="T10" s="15" t="s">
        <v>31</v>
      </c>
      <c r="U10" s="8">
        <v>920.3</v>
      </c>
    </row>
    <row r="11" spans="1:21">
      <c r="A11" s="6">
        <v>45914</v>
      </c>
      <c r="B11" s="7" t="s">
        <v>32</v>
      </c>
      <c r="C11" s="9" t="s">
        <v>45</v>
      </c>
      <c r="D11" s="8">
        <v>100</v>
      </c>
      <c r="E11" s="7" t="s">
        <v>34</v>
      </c>
      <c r="F11" s="15" t="s">
        <v>24</v>
      </c>
      <c r="G11" s="15" t="s">
        <v>35</v>
      </c>
      <c r="H11" s="16" t="s">
        <v>422</v>
      </c>
      <c r="I11" s="15" t="s">
        <v>26</v>
      </c>
      <c r="J11" s="17">
        <v>1</v>
      </c>
      <c r="K11" s="15" t="s">
        <v>44</v>
      </c>
      <c r="L11" s="21">
        <f t="shared" si="0"/>
        <v>0</v>
      </c>
      <c r="M11" s="21">
        <f t="shared" si="1"/>
        <v>0</v>
      </c>
      <c r="N11" s="15" t="s">
        <v>28</v>
      </c>
      <c r="O11" s="15" t="s">
        <v>29</v>
      </c>
      <c r="P11" s="15"/>
      <c r="Q11" s="15"/>
      <c r="R11" s="15" t="s">
        <v>30</v>
      </c>
      <c r="S11" s="16"/>
      <c r="T11" s="15" t="s">
        <v>31</v>
      </c>
      <c r="U11" s="8">
        <v>1020.3</v>
      </c>
    </row>
    <row r="12" spans="1:21">
      <c r="A12" s="6">
        <v>45915</v>
      </c>
      <c r="B12" s="7" t="s">
        <v>46</v>
      </c>
      <c r="C12" s="9" t="s">
        <v>47</v>
      </c>
      <c r="D12" s="8">
        <v>-12.5</v>
      </c>
      <c r="E12" s="7" t="s">
        <v>23</v>
      </c>
      <c r="F12" s="15" t="s">
        <v>48</v>
      </c>
      <c r="G12" s="15" t="s">
        <v>49</v>
      </c>
      <c r="H12" s="16"/>
      <c r="I12" s="15" t="s">
        <v>26</v>
      </c>
      <c r="J12" s="17">
        <v>1</v>
      </c>
      <c r="K12" s="15" t="s">
        <v>27</v>
      </c>
      <c r="L12" s="21">
        <f t="shared" si="0"/>
        <v>0</v>
      </c>
      <c r="M12" s="21">
        <f t="shared" si="1"/>
        <v>12.5</v>
      </c>
      <c r="N12" s="15" t="s">
        <v>28</v>
      </c>
      <c r="O12" s="15" t="s">
        <v>29</v>
      </c>
      <c r="P12" s="15"/>
      <c r="Q12" s="15"/>
      <c r="R12" s="15" t="s">
        <v>30</v>
      </c>
      <c r="S12" s="16"/>
      <c r="T12" s="15" t="s">
        <v>31</v>
      </c>
      <c r="U12" s="8">
        <v>907.8</v>
      </c>
    </row>
    <row r="13" spans="1:21">
      <c r="A13" s="6">
        <v>45919</v>
      </c>
      <c r="B13" s="7" t="s">
        <v>32</v>
      </c>
      <c r="C13" s="9" t="s">
        <v>50</v>
      </c>
      <c r="D13" s="8">
        <v>170</v>
      </c>
      <c r="E13" s="7" t="s">
        <v>34</v>
      </c>
      <c r="F13" s="15" t="s">
        <v>24</v>
      </c>
      <c r="G13" s="15" t="s">
        <v>35</v>
      </c>
      <c r="H13" s="16"/>
      <c r="I13" s="15" t="s">
        <v>26</v>
      </c>
      <c r="J13" s="17">
        <v>1</v>
      </c>
      <c r="K13" s="15" t="s">
        <v>27</v>
      </c>
      <c r="L13" s="21">
        <f t="shared" si="0"/>
        <v>170</v>
      </c>
      <c r="M13" s="21">
        <f t="shared" si="1"/>
        <v>0</v>
      </c>
      <c r="N13" s="15" t="s">
        <v>28</v>
      </c>
      <c r="O13" s="15" t="s">
        <v>29</v>
      </c>
      <c r="P13" s="15"/>
      <c r="Q13" s="15"/>
      <c r="R13" s="15" t="s">
        <v>30</v>
      </c>
      <c r="S13" s="16"/>
      <c r="T13" s="15" t="s">
        <v>31</v>
      </c>
      <c r="U13" s="8">
        <v>1242.58</v>
      </c>
    </row>
    <row r="14" spans="1:21">
      <c r="A14" s="6">
        <v>45919</v>
      </c>
      <c r="B14" s="7" t="s">
        <v>32</v>
      </c>
      <c r="C14" s="9" t="s">
        <v>51</v>
      </c>
      <c r="D14" s="8">
        <v>164.78</v>
      </c>
      <c r="E14" s="7" t="s">
        <v>34</v>
      </c>
      <c r="F14" s="15" t="s">
        <v>24</v>
      </c>
      <c r="G14" s="15" t="s">
        <v>52</v>
      </c>
      <c r="H14" s="16"/>
      <c r="I14" s="15" t="s">
        <v>26</v>
      </c>
      <c r="J14" s="17">
        <v>1</v>
      </c>
      <c r="K14" s="15" t="s">
        <v>27</v>
      </c>
      <c r="L14" s="21">
        <f t="shared" si="0"/>
        <v>164.78</v>
      </c>
      <c r="M14" s="21">
        <f t="shared" si="1"/>
        <v>0</v>
      </c>
      <c r="N14" s="15" t="s">
        <v>28</v>
      </c>
      <c r="O14" s="15" t="s">
        <v>29</v>
      </c>
      <c r="P14" s="15"/>
      <c r="Q14" s="15"/>
      <c r="R14" s="15" t="s">
        <v>30</v>
      </c>
      <c r="S14" s="16"/>
      <c r="T14" s="15" t="s">
        <v>31</v>
      </c>
      <c r="U14" s="8">
        <v>1072.58</v>
      </c>
    </row>
    <row r="15" spans="1:21">
      <c r="A15" s="6">
        <v>45920</v>
      </c>
      <c r="B15" s="7" t="s">
        <v>32</v>
      </c>
      <c r="C15" s="9" t="s">
        <v>53</v>
      </c>
      <c r="D15" s="8">
        <v>1600</v>
      </c>
      <c r="E15" s="7" t="s">
        <v>34</v>
      </c>
      <c r="F15" s="15" t="s">
        <v>24</v>
      </c>
      <c r="G15" s="15" t="s">
        <v>35</v>
      </c>
      <c r="H15" s="16"/>
      <c r="I15" s="15" t="s">
        <v>26</v>
      </c>
      <c r="J15" s="17">
        <v>1</v>
      </c>
      <c r="K15" s="15" t="s">
        <v>27</v>
      </c>
      <c r="L15" s="21">
        <f t="shared" si="0"/>
        <v>1600</v>
      </c>
      <c r="M15" s="21">
        <f t="shared" si="1"/>
        <v>0</v>
      </c>
      <c r="N15" s="15" t="s">
        <v>28</v>
      </c>
      <c r="O15" s="15" t="s">
        <v>29</v>
      </c>
      <c r="P15" s="15"/>
      <c r="Q15" s="15"/>
      <c r="R15" s="15" t="s">
        <v>30</v>
      </c>
      <c r="S15" s="16"/>
      <c r="T15" s="15" t="s">
        <v>31</v>
      </c>
      <c r="U15" s="8">
        <v>2842.58</v>
      </c>
    </row>
    <row r="16" spans="1:21">
      <c r="A16" s="6">
        <v>45922</v>
      </c>
      <c r="B16" s="7" t="s">
        <v>21</v>
      </c>
      <c r="C16" s="9" t="s">
        <v>54</v>
      </c>
      <c r="D16" s="8">
        <v>-25</v>
      </c>
      <c r="E16" s="7" t="s">
        <v>23</v>
      </c>
      <c r="F16" s="15" t="s">
        <v>24</v>
      </c>
      <c r="G16" s="15" t="s">
        <v>55</v>
      </c>
      <c r="H16" s="16"/>
      <c r="I16" s="15" t="s">
        <v>26</v>
      </c>
      <c r="J16" s="17">
        <v>1</v>
      </c>
      <c r="K16" s="15" t="s">
        <v>27</v>
      </c>
      <c r="L16" s="21">
        <f t="shared" si="0"/>
        <v>0</v>
      </c>
      <c r="M16" s="21">
        <f t="shared" si="1"/>
        <v>25</v>
      </c>
      <c r="N16" s="15" t="s">
        <v>28</v>
      </c>
      <c r="O16" s="15" t="s">
        <v>29</v>
      </c>
      <c r="P16" s="15"/>
      <c r="Q16" s="15"/>
      <c r="R16" s="15" t="s">
        <v>30</v>
      </c>
      <c r="S16" s="16"/>
      <c r="T16" s="15" t="s">
        <v>31</v>
      </c>
      <c r="U16" s="8">
        <v>2817.58</v>
      </c>
    </row>
    <row r="17" spans="1:21">
      <c r="A17" s="6">
        <v>45925</v>
      </c>
      <c r="B17" s="7" t="s">
        <v>46</v>
      </c>
      <c r="C17" s="9" t="s">
        <v>47</v>
      </c>
      <c r="D17" s="8">
        <v>-15</v>
      </c>
      <c r="E17" s="7" t="s">
        <v>23</v>
      </c>
      <c r="F17" s="15" t="s">
        <v>48</v>
      </c>
      <c r="G17" s="15" t="s">
        <v>49</v>
      </c>
      <c r="H17" s="16"/>
      <c r="I17" s="15" t="s">
        <v>26</v>
      </c>
      <c r="J17" s="17">
        <v>1</v>
      </c>
      <c r="K17" s="15" t="s">
        <v>27</v>
      </c>
      <c r="L17" s="21">
        <f t="shared" si="0"/>
        <v>0</v>
      </c>
      <c r="M17" s="21">
        <f t="shared" si="1"/>
        <v>15</v>
      </c>
      <c r="N17" s="15" t="s">
        <v>28</v>
      </c>
      <c r="O17" s="15" t="s">
        <v>29</v>
      </c>
      <c r="P17" s="15"/>
      <c r="Q17" s="15"/>
      <c r="R17" s="15" t="s">
        <v>30</v>
      </c>
      <c r="S17" s="16"/>
      <c r="T17" s="15" t="s">
        <v>31</v>
      </c>
      <c r="U17" s="8">
        <v>2802.58</v>
      </c>
    </row>
    <row r="18" spans="1:21">
      <c r="A18" s="6">
        <v>45927</v>
      </c>
      <c r="B18" s="7" t="s">
        <v>32</v>
      </c>
      <c r="C18" s="9" t="s">
        <v>56</v>
      </c>
      <c r="D18" s="8">
        <v>2750</v>
      </c>
      <c r="E18" s="7" t="s">
        <v>34</v>
      </c>
      <c r="F18" s="15" t="s">
        <v>24</v>
      </c>
      <c r="G18" s="15" t="s">
        <v>35</v>
      </c>
      <c r="H18" s="16"/>
      <c r="I18" s="15" t="s">
        <v>26</v>
      </c>
      <c r="J18" s="17">
        <v>1</v>
      </c>
      <c r="K18" s="15" t="s">
        <v>27</v>
      </c>
      <c r="L18" s="21">
        <f t="shared" si="0"/>
        <v>2750</v>
      </c>
      <c r="M18" s="21">
        <f t="shared" si="1"/>
        <v>0</v>
      </c>
      <c r="N18" s="15" t="s">
        <v>28</v>
      </c>
      <c r="O18" s="15" t="s">
        <v>29</v>
      </c>
      <c r="P18" s="15"/>
      <c r="Q18" s="15"/>
      <c r="R18" s="15" t="s">
        <v>30</v>
      </c>
      <c r="S18" s="16"/>
      <c r="T18" s="15" t="s">
        <v>31</v>
      </c>
      <c r="U18" s="8">
        <v>5552.58</v>
      </c>
    </row>
    <row r="19" spans="1:21">
      <c r="A19" s="6">
        <v>45928</v>
      </c>
      <c r="B19" s="7" t="s">
        <v>21</v>
      </c>
      <c r="C19" s="9" t="s">
        <v>36</v>
      </c>
      <c r="D19" s="8">
        <v>-1622</v>
      </c>
      <c r="E19" s="7" t="s">
        <v>23</v>
      </c>
      <c r="F19" s="15" t="s">
        <v>24</v>
      </c>
      <c r="G19" s="15" t="s">
        <v>37</v>
      </c>
      <c r="H19" s="16"/>
      <c r="I19" s="15" t="s">
        <v>26</v>
      </c>
      <c r="J19" s="17">
        <v>1</v>
      </c>
      <c r="K19" s="15" t="s">
        <v>162</v>
      </c>
      <c r="L19" s="21">
        <f t="shared" si="0"/>
        <v>0</v>
      </c>
      <c r="M19" s="21">
        <f t="shared" si="1"/>
        <v>1622</v>
      </c>
      <c r="N19" s="15" t="s">
        <v>28</v>
      </c>
      <c r="O19" s="15" t="s">
        <v>29</v>
      </c>
      <c r="P19" s="15"/>
      <c r="Q19" s="15"/>
      <c r="R19" s="15" t="s">
        <v>30</v>
      </c>
      <c r="S19" s="16"/>
      <c r="T19" s="15" t="s">
        <v>31</v>
      </c>
      <c r="U19" s="8">
        <v>3930.58</v>
      </c>
    </row>
    <row r="20" spans="1:21">
      <c r="A20" s="6">
        <v>45929</v>
      </c>
      <c r="B20" s="7" t="s">
        <v>57</v>
      </c>
      <c r="C20" s="9" t="s">
        <v>58</v>
      </c>
      <c r="D20" s="8">
        <v>-199.05</v>
      </c>
      <c r="E20" s="7" t="s">
        <v>23</v>
      </c>
      <c r="F20" s="15" t="s">
        <v>48</v>
      </c>
      <c r="G20" s="15" t="s">
        <v>59</v>
      </c>
      <c r="H20" s="16" t="s">
        <v>60</v>
      </c>
      <c r="I20" s="15" t="s">
        <v>26</v>
      </c>
      <c r="J20" s="17">
        <v>1</v>
      </c>
      <c r="K20" s="15" t="s">
        <v>27</v>
      </c>
      <c r="L20" s="21">
        <f t="shared" si="0"/>
        <v>0</v>
      </c>
      <c r="M20" s="21">
        <f t="shared" si="1"/>
        <v>199.05</v>
      </c>
      <c r="N20" s="15" t="s">
        <v>28</v>
      </c>
      <c r="O20" s="15" t="s">
        <v>29</v>
      </c>
      <c r="P20" s="15"/>
      <c r="Q20" s="15"/>
      <c r="R20" s="15" t="s">
        <v>30</v>
      </c>
      <c r="S20" s="16"/>
      <c r="T20" s="15" t="s">
        <v>31</v>
      </c>
      <c r="U20" s="8">
        <v>3799.88</v>
      </c>
    </row>
    <row r="21" spans="1:21">
      <c r="A21" s="6">
        <v>45929</v>
      </c>
      <c r="B21" s="7" t="s">
        <v>32</v>
      </c>
      <c r="C21" s="9" t="s">
        <v>51</v>
      </c>
      <c r="D21" s="8">
        <v>68.349999999999994</v>
      </c>
      <c r="E21" s="7" t="s">
        <v>34</v>
      </c>
      <c r="F21" s="15" t="s">
        <v>24</v>
      </c>
      <c r="G21" s="15" t="s">
        <v>52</v>
      </c>
      <c r="H21" s="16"/>
      <c r="I21" s="15" t="s">
        <v>26</v>
      </c>
      <c r="J21" s="17">
        <v>1</v>
      </c>
      <c r="K21" s="15" t="s">
        <v>27</v>
      </c>
      <c r="L21" s="21">
        <f t="shared" si="0"/>
        <v>68.349999999999994</v>
      </c>
      <c r="M21" s="21">
        <f t="shared" si="1"/>
        <v>0</v>
      </c>
      <c r="N21" s="15" t="s">
        <v>28</v>
      </c>
      <c r="O21" s="15" t="s">
        <v>29</v>
      </c>
      <c r="P21" s="15"/>
      <c r="Q21" s="15"/>
      <c r="R21" s="15" t="s">
        <v>30</v>
      </c>
      <c r="S21" s="16"/>
      <c r="T21" s="15" t="s">
        <v>31</v>
      </c>
      <c r="U21" s="8">
        <v>3998.93</v>
      </c>
    </row>
    <row r="22" spans="1:21">
      <c r="A22" s="6">
        <v>45931</v>
      </c>
      <c r="B22" s="7" t="s">
        <v>46</v>
      </c>
      <c r="C22" s="9" t="s">
        <v>61</v>
      </c>
      <c r="D22" s="8">
        <v>-8.75</v>
      </c>
      <c r="E22" s="7" t="s">
        <v>23</v>
      </c>
      <c r="F22" s="15" t="s">
        <v>48</v>
      </c>
      <c r="G22" s="15" t="s">
        <v>25</v>
      </c>
      <c r="H22" s="16"/>
      <c r="I22" s="15" t="s">
        <v>26</v>
      </c>
      <c r="J22" s="17">
        <v>1</v>
      </c>
      <c r="K22" s="15" t="s">
        <v>27</v>
      </c>
      <c r="L22" s="21">
        <f t="shared" si="0"/>
        <v>0</v>
      </c>
      <c r="M22" s="21">
        <f t="shared" si="1"/>
        <v>8.75</v>
      </c>
      <c r="N22" s="15" t="s">
        <v>28</v>
      </c>
      <c r="O22" s="15" t="s">
        <v>29</v>
      </c>
      <c r="P22" s="15"/>
      <c r="Q22" s="15"/>
      <c r="R22" s="15" t="s">
        <v>30</v>
      </c>
      <c r="S22" s="16"/>
      <c r="T22" s="15" t="s">
        <v>31</v>
      </c>
      <c r="U22" s="8">
        <v>3791.13</v>
      </c>
    </row>
    <row r="23" spans="1:21">
      <c r="A23" s="6">
        <v>45932</v>
      </c>
      <c r="B23" s="7" t="s">
        <v>32</v>
      </c>
      <c r="C23" s="9" t="s">
        <v>51</v>
      </c>
      <c r="D23" s="8">
        <v>78.150000000000006</v>
      </c>
      <c r="E23" s="7" t="s">
        <v>34</v>
      </c>
      <c r="F23" s="15" t="s">
        <v>24</v>
      </c>
      <c r="G23" s="15" t="s">
        <v>52</v>
      </c>
      <c r="H23" s="16"/>
      <c r="I23" s="15" t="s">
        <v>26</v>
      </c>
      <c r="J23" s="17">
        <v>1</v>
      </c>
      <c r="K23" s="15" t="s">
        <v>27</v>
      </c>
      <c r="L23" s="21">
        <f t="shared" si="0"/>
        <v>78.150000000000006</v>
      </c>
      <c r="M23" s="21">
        <f t="shared" si="1"/>
        <v>0</v>
      </c>
      <c r="N23" s="15" t="s">
        <v>28</v>
      </c>
      <c r="O23" s="15" t="s">
        <v>29</v>
      </c>
      <c r="P23" s="15"/>
      <c r="Q23" s="15"/>
      <c r="R23" s="15" t="s">
        <v>30</v>
      </c>
      <c r="S23" s="16"/>
      <c r="T23" s="15" t="s">
        <v>31</v>
      </c>
      <c r="U23" s="8">
        <v>3869.28</v>
      </c>
    </row>
    <row r="24" spans="1:21" ht="14.25" customHeight="1">
      <c r="A24" s="6">
        <v>45933</v>
      </c>
      <c r="B24" s="7" t="s">
        <v>57</v>
      </c>
      <c r="C24" s="9" t="s">
        <v>62</v>
      </c>
      <c r="D24" s="8">
        <v>-53.07</v>
      </c>
      <c r="E24" s="7" t="s">
        <v>23</v>
      </c>
      <c r="F24" s="15" t="s">
        <v>48</v>
      </c>
      <c r="G24" s="15" t="s">
        <v>63</v>
      </c>
      <c r="H24" t="s">
        <v>64</v>
      </c>
      <c r="I24" s="15" t="s">
        <v>26</v>
      </c>
      <c r="J24" s="17">
        <v>1</v>
      </c>
      <c r="K24" s="15" t="s">
        <v>27</v>
      </c>
      <c r="L24" s="21">
        <f t="shared" si="0"/>
        <v>0</v>
      </c>
      <c r="M24" s="21">
        <f t="shared" si="1"/>
        <v>53.07</v>
      </c>
      <c r="N24" s="15" t="s">
        <v>28</v>
      </c>
      <c r="O24" s="15" t="s">
        <v>29</v>
      </c>
      <c r="P24" s="15"/>
      <c r="Q24" s="15"/>
      <c r="R24" s="15" t="s">
        <v>30</v>
      </c>
      <c r="S24" s="16" t="s">
        <v>65</v>
      </c>
      <c r="T24" s="15" t="s">
        <v>31</v>
      </c>
      <c r="U24" s="8">
        <v>3799.59</v>
      </c>
    </row>
    <row r="25" spans="1:21">
      <c r="A25" s="6">
        <v>45933</v>
      </c>
      <c r="B25" s="7" t="s">
        <v>21</v>
      </c>
      <c r="C25" s="9" t="s">
        <v>66</v>
      </c>
      <c r="D25" s="8">
        <v>-16.62</v>
      </c>
      <c r="E25" s="7" t="s">
        <v>23</v>
      </c>
      <c r="F25" s="15" t="s">
        <v>24</v>
      </c>
      <c r="G25" s="15" t="s">
        <v>49</v>
      </c>
      <c r="H25" s="16"/>
      <c r="I25" s="15" t="s">
        <v>26</v>
      </c>
      <c r="J25" s="17">
        <v>1</v>
      </c>
      <c r="K25" s="15" t="s">
        <v>27</v>
      </c>
      <c r="L25" s="21">
        <f t="shared" si="0"/>
        <v>0</v>
      </c>
      <c r="M25" s="21">
        <f t="shared" si="1"/>
        <v>16.62</v>
      </c>
      <c r="N25" s="15" t="s">
        <v>28</v>
      </c>
      <c r="O25" s="15" t="s">
        <v>29</v>
      </c>
      <c r="P25" s="15"/>
      <c r="Q25" s="15"/>
      <c r="R25" s="15" t="s">
        <v>30</v>
      </c>
      <c r="S25" s="16"/>
      <c r="T25" s="15" t="s">
        <v>31</v>
      </c>
      <c r="U25" s="8">
        <v>3852.66</v>
      </c>
    </row>
    <row r="26" spans="1:21">
      <c r="A26" s="6">
        <v>45938</v>
      </c>
      <c r="B26" s="7" t="s">
        <v>67</v>
      </c>
      <c r="C26" s="9" t="s">
        <v>68</v>
      </c>
      <c r="D26" s="8">
        <v>-80</v>
      </c>
      <c r="E26" s="7" t="s">
        <v>23</v>
      </c>
      <c r="F26" s="15" t="s">
        <v>69</v>
      </c>
      <c r="G26" s="15" t="s">
        <v>55</v>
      </c>
      <c r="H26" s="16"/>
      <c r="I26" s="15" t="s">
        <v>26</v>
      </c>
      <c r="J26" s="17">
        <v>1</v>
      </c>
      <c r="K26" s="15" t="s">
        <v>27</v>
      </c>
      <c r="L26" s="21">
        <f t="shared" si="0"/>
        <v>0</v>
      </c>
      <c r="M26" s="21">
        <f t="shared" si="1"/>
        <v>80</v>
      </c>
      <c r="N26" s="15" t="s">
        <v>28</v>
      </c>
      <c r="O26" s="15" t="s">
        <v>29</v>
      </c>
      <c r="P26" s="15"/>
      <c r="Q26" s="15"/>
      <c r="R26" s="15" t="s">
        <v>30</v>
      </c>
      <c r="S26" s="16"/>
      <c r="T26" s="15" t="s">
        <v>31</v>
      </c>
      <c r="U26" s="8">
        <v>3719.59</v>
      </c>
    </row>
    <row r="27" spans="1:21">
      <c r="A27" s="6">
        <v>45945</v>
      </c>
      <c r="B27" s="7" t="s">
        <v>57</v>
      </c>
      <c r="C27" s="9" t="s">
        <v>70</v>
      </c>
      <c r="D27" s="8">
        <v>-475</v>
      </c>
      <c r="E27" s="7" t="s">
        <v>23</v>
      </c>
      <c r="F27" s="15" t="s">
        <v>48</v>
      </c>
      <c r="G27" s="15" t="s">
        <v>43</v>
      </c>
      <c r="H27" s="16" t="s">
        <v>71</v>
      </c>
      <c r="I27" s="15" t="s">
        <v>26</v>
      </c>
      <c r="J27" s="17">
        <v>1</v>
      </c>
      <c r="K27" s="15" t="s">
        <v>27</v>
      </c>
      <c r="L27" s="21">
        <f t="shared" si="0"/>
        <v>0</v>
      </c>
      <c r="M27" s="21">
        <f t="shared" si="1"/>
        <v>475</v>
      </c>
      <c r="N27" s="15" t="s">
        <v>28</v>
      </c>
      <c r="O27" s="15" t="s">
        <v>29</v>
      </c>
      <c r="P27" s="15"/>
      <c r="Q27" s="15"/>
      <c r="R27" s="15" t="s">
        <v>30</v>
      </c>
      <c r="S27" s="16"/>
      <c r="T27" s="15" t="s">
        <v>31</v>
      </c>
      <c r="U27" s="8">
        <v>3322.74</v>
      </c>
    </row>
    <row r="28" spans="1:21">
      <c r="A28" s="6">
        <v>45945</v>
      </c>
      <c r="B28" s="7" t="s">
        <v>32</v>
      </c>
      <c r="C28" s="9" t="s">
        <v>51</v>
      </c>
      <c r="D28" s="8">
        <v>78.150000000000006</v>
      </c>
      <c r="E28" s="7" t="s">
        <v>34</v>
      </c>
      <c r="F28" s="15" t="s">
        <v>24</v>
      </c>
      <c r="G28" s="15" t="s">
        <v>52</v>
      </c>
      <c r="H28" s="16"/>
      <c r="I28" s="15" t="s">
        <v>26</v>
      </c>
      <c r="J28" s="17">
        <v>1</v>
      </c>
      <c r="K28" s="15" t="s">
        <v>27</v>
      </c>
      <c r="L28" s="21">
        <f t="shared" si="0"/>
        <v>78.150000000000006</v>
      </c>
      <c r="M28" s="21">
        <f t="shared" si="1"/>
        <v>0</v>
      </c>
      <c r="N28" s="15" t="s">
        <v>28</v>
      </c>
      <c r="O28" s="15" t="s">
        <v>29</v>
      </c>
      <c r="P28" s="15"/>
      <c r="Q28" s="15"/>
      <c r="R28" s="15" t="s">
        <v>30</v>
      </c>
      <c r="S28" s="16"/>
      <c r="T28" s="15" t="s">
        <v>31</v>
      </c>
      <c r="U28" s="8">
        <v>3797.74</v>
      </c>
    </row>
    <row r="29" spans="1:21">
      <c r="A29" s="6">
        <v>45946</v>
      </c>
      <c r="B29" s="7" t="s">
        <v>32</v>
      </c>
      <c r="C29" s="9" t="s">
        <v>51</v>
      </c>
      <c r="D29" s="8">
        <v>244.75</v>
      </c>
      <c r="E29" s="7" t="s">
        <v>34</v>
      </c>
      <c r="F29" s="15" t="s">
        <v>24</v>
      </c>
      <c r="G29" s="15" t="s">
        <v>52</v>
      </c>
      <c r="H29" s="16"/>
      <c r="I29" s="15" t="s">
        <v>26</v>
      </c>
      <c r="J29" s="17">
        <v>1</v>
      </c>
      <c r="K29" s="15" t="s">
        <v>27</v>
      </c>
      <c r="L29" s="21">
        <f t="shared" si="0"/>
        <v>244.75</v>
      </c>
      <c r="M29" s="21">
        <f t="shared" si="1"/>
        <v>0</v>
      </c>
      <c r="N29" s="15" t="s">
        <v>28</v>
      </c>
      <c r="O29" s="15" t="s">
        <v>29</v>
      </c>
      <c r="P29" s="15"/>
      <c r="Q29" s="15"/>
      <c r="R29" s="15" t="s">
        <v>30</v>
      </c>
      <c r="S29" s="16"/>
      <c r="T29" s="15" t="s">
        <v>31</v>
      </c>
      <c r="U29" s="8">
        <v>3567.49</v>
      </c>
    </row>
    <row r="30" spans="1:21">
      <c r="A30" s="6">
        <v>45951</v>
      </c>
      <c r="B30" s="7" t="s">
        <v>57</v>
      </c>
      <c r="C30" s="9" t="s">
        <v>58</v>
      </c>
      <c r="D30" s="8">
        <v>-61.62</v>
      </c>
      <c r="E30" s="7" t="s">
        <v>23</v>
      </c>
      <c r="F30" s="15" t="s">
        <v>48</v>
      </c>
      <c r="G30" s="15" t="s">
        <v>72</v>
      </c>
      <c r="H30" s="16" t="s">
        <v>73</v>
      </c>
      <c r="I30" s="15" t="s">
        <v>26</v>
      </c>
      <c r="J30" s="17">
        <v>1</v>
      </c>
      <c r="K30" s="15" t="s">
        <v>27</v>
      </c>
      <c r="L30" s="21">
        <f t="shared" si="0"/>
        <v>0</v>
      </c>
      <c r="M30" s="21">
        <f t="shared" si="1"/>
        <v>61.62</v>
      </c>
      <c r="N30" s="15" t="s">
        <v>28</v>
      </c>
      <c r="O30" s="15" t="s">
        <v>29</v>
      </c>
      <c r="P30" s="15"/>
      <c r="Q30" s="15"/>
      <c r="R30" s="15" t="s">
        <v>30</v>
      </c>
      <c r="S30" s="16"/>
      <c r="T30" s="15" t="s">
        <v>31</v>
      </c>
      <c r="U30" s="8">
        <v>3505.87</v>
      </c>
    </row>
    <row r="31" spans="1:21">
      <c r="A31" s="6">
        <v>45952</v>
      </c>
      <c r="B31" s="7" t="s">
        <v>57</v>
      </c>
      <c r="C31" s="9" t="s">
        <v>74</v>
      </c>
      <c r="D31" s="8">
        <v>-39.950000000000003</v>
      </c>
      <c r="E31" s="7" t="s">
        <v>23</v>
      </c>
      <c r="F31" s="15" t="s">
        <v>48</v>
      </c>
      <c r="G31" s="15" t="s">
        <v>75</v>
      </c>
      <c r="H31" s="16" t="s">
        <v>76</v>
      </c>
      <c r="I31" s="15" t="s">
        <v>26</v>
      </c>
      <c r="J31" s="17">
        <v>1</v>
      </c>
      <c r="K31" s="15" t="s">
        <v>27</v>
      </c>
      <c r="L31" s="21">
        <f t="shared" si="0"/>
        <v>0</v>
      </c>
      <c r="M31" s="21">
        <f t="shared" si="1"/>
        <v>39.950000000000003</v>
      </c>
      <c r="N31" s="15" t="s">
        <v>28</v>
      </c>
      <c r="O31" s="15" t="s">
        <v>29</v>
      </c>
      <c r="P31" s="15"/>
      <c r="Q31" s="15"/>
      <c r="R31" s="15" t="s">
        <v>30</v>
      </c>
      <c r="S31" s="16"/>
      <c r="T31" s="15" t="s">
        <v>31</v>
      </c>
      <c r="U31" s="8">
        <v>3465.92</v>
      </c>
    </row>
    <row r="32" spans="1:21">
      <c r="A32" s="6">
        <v>45959</v>
      </c>
      <c r="B32" s="7" t="s">
        <v>32</v>
      </c>
      <c r="C32" s="9" t="s">
        <v>77</v>
      </c>
      <c r="D32" s="8">
        <v>170</v>
      </c>
      <c r="E32" s="7" t="s">
        <v>34</v>
      </c>
      <c r="F32" s="15" t="s">
        <v>24</v>
      </c>
      <c r="G32" s="15" t="s">
        <v>52</v>
      </c>
      <c r="H32" s="16"/>
      <c r="I32" s="15" t="s">
        <v>26</v>
      </c>
      <c r="J32" s="17">
        <v>1</v>
      </c>
      <c r="K32" s="15" t="s">
        <v>27</v>
      </c>
      <c r="L32" s="21">
        <f t="shared" si="0"/>
        <v>170</v>
      </c>
      <c r="M32" s="21">
        <f t="shared" si="1"/>
        <v>0</v>
      </c>
      <c r="N32" s="15" t="s">
        <v>28</v>
      </c>
      <c r="O32" s="15" t="s">
        <v>29</v>
      </c>
      <c r="P32" s="15"/>
      <c r="Q32" s="15"/>
      <c r="R32" s="15" t="s">
        <v>30</v>
      </c>
      <c r="S32" s="16"/>
      <c r="T32" s="15" t="s">
        <v>31</v>
      </c>
      <c r="U32" s="8">
        <v>3635.92</v>
      </c>
    </row>
    <row r="33" spans="1:21">
      <c r="A33" s="6">
        <v>45966</v>
      </c>
      <c r="B33" s="7" t="s">
        <v>78</v>
      </c>
      <c r="C33" s="9" t="s">
        <v>79</v>
      </c>
      <c r="D33" s="8">
        <v>-0.19</v>
      </c>
      <c r="E33" s="7" t="s">
        <v>23</v>
      </c>
      <c r="F33" s="15" t="s">
        <v>80</v>
      </c>
      <c r="G33" s="15" t="s">
        <v>63</v>
      </c>
      <c r="H33" s="16" t="s">
        <v>81</v>
      </c>
      <c r="I33" s="15" t="s">
        <v>26</v>
      </c>
      <c r="J33" s="17">
        <v>1</v>
      </c>
      <c r="K33" s="15" t="s">
        <v>27</v>
      </c>
      <c r="L33" s="21">
        <f t="shared" si="0"/>
        <v>0</v>
      </c>
      <c r="M33" s="21">
        <f t="shared" si="1"/>
        <v>0.19</v>
      </c>
      <c r="N33" s="15" t="s">
        <v>28</v>
      </c>
      <c r="O33" s="15" t="s">
        <v>29</v>
      </c>
      <c r="P33" s="15"/>
      <c r="Q33" s="15"/>
      <c r="R33" s="15" t="s">
        <v>30</v>
      </c>
      <c r="S33" s="16"/>
      <c r="T33" s="15" t="s">
        <v>31</v>
      </c>
      <c r="U33" s="8">
        <v>3611.55</v>
      </c>
    </row>
    <row r="34" spans="1:21" ht="38.25">
      <c r="A34" s="6">
        <v>45966</v>
      </c>
      <c r="B34" s="7" t="s">
        <v>46</v>
      </c>
      <c r="C34" s="9" t="s">
        <v>82</v>
      </c>
      <c r="D34" s="8">
        <v>-7.03</v>
      </c>
      <c r="E34" s="7" t="s">
        <v>23</v>
      </c>
      <c r="F34" s="15" t="s">
        <v>48</v>
      </c>
      <c r="G34" s="15" t="s">
        <v>63</v>
      </c>
      <c r="H34" s="16" t="s">
        <v>81</v>
      </c>
      <c r="I34" s="15" t="s">
        <v>26</v>
      </c>
      <c r="J34" s="17">
        <v>1</v>
      </c>
      <c r="K34" s="15" t="s">
        <v>27</v>
      </c>
      <c r="L34" s="21">
        <f t="shared" si="0"/>
        <v>0</v>
      </c>
      <c r="M34" s="21">
        <f t="shared" si="1"/>
        <v>7.03</v>
      </c>
      <c r="N34" s="15" t="s">
        <v>28</v>
      </c>
      <c r="O34" s="15" t="s">
        <v>29</v>
      </c>
      <c r="P34" s="15"/>
      <c r="Q34" s="15"/>
      <c r="R34" s="15" t="s">
        <v>30</v>
      </c>
      <c r="S34" s="16"/>
      <c r="T34" s="15" t="s">
        <v>31</v>
      </c>
      <c r="U34" s="8">
        <v>3611.74</v>
      </c>
    </row>
    <row r="35" spans="1:21">
      <c r="A35" s="6">
        <v>45966</v>
      </c>
      <c r="B35" s="7" t="s">
        <v>78</v>
      </c>
      <c r="C35" s="9" t="s">
        <v>79</v>
      </c>
      <c r="D35" s="8">
        <v>-0.24</v>
      </c>
      <c r="E35" s="7" t="s">
        <v>23</v>
      </c>
      <c r="F35" s="15" t="s">
        <v>80</v>
      </c>
      <c r="G35" s="15" t="s">
        <v>63</v>
      </c>
      <c r="H35" s="16" t="s">
        <v>81</v>
      </c>
      <c r="I35" s="15" t="s">
        <v>26</v>
      </c>
      <c r="J35" s="17">
        <v>1</v>
      </c>
      <c r="K35" s="15" t="s">
        <v>27</v>
      </c>
      <c r="L35" s="21">
        <f t="shared" si="0"/>
        <v>0</v>
      </c>
      <c r="M35" s="21">
        <f t="shared" si="1"/>
        <v>0.24</v>
      </c>
      <c r="N35" s="15" t="s">
        <v>28</v>
      </c>
      <c r="O35" s="15" t="s">
        <v>29</v>
      </c>
      <c r="P35" s="15"/>
      <c r="Q35" s="15"/>
      <c r="R35" s="15" t="s">
        <v>30</v>
      </c>
      <c r="S35" s="16"/>
      <c r="T35" s="15" t="s">
        <v>31</v>
      </c>
      <c r="U35" s="8">
        <v>3618.77</v>
      </c>
    </row>
    <row r="36" spans="1:21" ht="38.25">
      <c r="A36" s="6">
        <v>45966</v>
      </c>
      <c r="B36" s="7" t="s">
        <v>46</v>
      </c>
      <c r="C36" s="9" t="s">
        <v>83</v>
      </c>
      <c r="D36" s="8">
        <v>-8.7899999999999991</v>
      </c>
      <c r="E36" s="7" t="s">
        <v>23</v>
      </c>
      <c r="F36" s="15" t="s">
        <v>48</v>
      </c>
      <c r="G36" s="15" t="s">
        <v>63</v>
      </c>
      <c r="H36" s="16" t="s">
        <v>81</v>
      </c>
      <c r="I36" s="15" t="s">
        <v>26</v>
      </c>
      <c r="J36" s="17">
        <v>1</v>
      </c>
      <c r="K36" s="15" t="s">
        <v>27</v>
      </c>
      <c r="L36" s="21">
        <f t="shared" si="0"/>
        <v>0</v>
      </c>
      <c r="M36" s="21">
        <f t="shared" si="1"/>
        <v>8.7899999999999991</v>
      </c>
      <c r="N36" s="15" t="s">
        <v>28</v>
      </c>
      <c r="O36" s="15" t="s">
        <v>29</v>
      </c>
      <c r="P36" s="15"/>
      <c r="Q36" s="15"/>
      <c r="R36" s="15" t="s">
        <v>30</v>
      </c>
      <c r="S36" s="16"/>
      <c r="T36" s="15" t="s">
        <v>31</v>
      </c>
      <c r="U36" s="8">
        <v>3619.01</v>
      </c>
    </row>
    <row r="37" spans="1:21">
      <c r="A37" s="6">
        <v>45966</v>
      </c>
      <c r="B37" s="7" t="s">
        <v>78</v>
      </c>
      <c r="C37" s="9" t="s">
        <v>79</v>
      </c>
      <c r="D37" s="8">
        <v>-0.21</v>
      </c>
      <c r="E37" s="7" t="s">
        <v>23</v>
      </c>
      <c r="F37" s="15" t="s">
        <v>80</v>
      </c>
      <c r="G37" s="15" t="s">
        <v>63</v>
      </c>
      <c r="H37" s="16" t="s">
        <v>81</v>
      </c>
      <c r="I37" s="15" t="s">
        <v>26</v>
      </c>
      <c r="J37" s="17">
        <v>1</v>
      </c>
      <c r="K37" s="15" t="s">
        <v>27</v>
      </c>
      <c r="L37" s="21">
        <f t="shared" si="0"/>
        <v>0</v>
      </c>
      <c r="M37" s="21">
        <f t="shared" si="1"/>
        <v>0.21</v>
      </c>
      <c r="N37" s="15" t="s">
        <v>28</v>
      </c>
      <c r="O37" s="15" t="s">
        <v>29</v>
      </c>
      <c r="P37" s="15"/>
      <c r="Q37" s="15"/>
      <c r="R37" s="15" t="s">
        <v>30</v>
      </c>
      <c r="S37" s="16"/>
      <c r="T37" s="15" t="s">
        <v>31</v>
      </c>
      <c r="U37" s="8">
        <v>3627.8</v>
      </c>
    </row>
    <row r="38" spans="1:21" ht="38.25">
      <c r="A38" s="6">
        <v>45966</v>
      </c>
      <c r="B38" s="7" t="s">
        <v>46</v>
      </c>
      <c r="C38" s="9" t="s">
        <v>84</v>
      </c>
      <c r="D38" s="8">
        <v>-7.91</v>
      </c>
      <c r="E38" s="7" t="s">
        <v>23</v>
      </c>
      <c r="F38" s="15" t="s">
        <v>48</v>
      </c>
      <c r="G38" s="15" t="s">
        <v>63</v>
      </c>
      <c r="H38" s="16" t="s">
        <v>81</v>
      </c>
      <c r="I38" s="15" t="s">
        <v>26</v>
      </c>
      <c r="J38" s="17">
        <v>1</v>
      </c>
      <c r="K38" s="15" t="s">
        <v>27</v>
      </c>
      <c r="L38" s="21">
        <f t="shared" si="0"/>
        <v>0</v>
      </c>
      <c r="M38" s="21">
        <f t="shared" si="1"/>
        <v>7.91</v>
      </c>
      <c r="N38" s="15" t="s">
        <v>28</v>
      </c>
      <c r="O38" s="15" t="s">
        <v>29</v>
      </c>
      <c r="P38" s="15"/>
      <c r="Q38" s="15"/>
      <c r="R38" s="15" t="s">
        <v>30</v>
      </c>
      <c r="S38" s="16"/>
      <c r="T38" s="15" t="s">
        <v>31</v>
      </c>
      <c r="U38" s="8">
        <v>3628.01</v>
      </c>
    </row>
    <row r="39" spans="1:21">
      <c r="A39" s="6">
        <v>45967</v>
      </c>
      <c r="B39" s="7" t="s">
        <v>78</v>
      </c>
      <c r="C39" s="9" t="s">
        <v>79</v>
      </c>
      <c r="D39" s="8">
        <v>-0.36</v>
      </c>
      <c r="E39" s="7" t="s">
        <v>23</v>
      </c>
      <c r="F39" s="15" t="s">
        <v>80</v>
      </c>
      <c r="G39" s="15" t="s">
        <v>63</v>
      </c>
      <c r="H39" s="16" t="s">
        <v>81</v>
      </c>
      <c r="I39" s="15" t="s">
        <v>26</v>
      </c>
      <c r="J39" s="17">
        <v>1</v>
      </c>
      <c r="K39" s="15" t="s">
        <v>27</v>
      </c>
      <c r="L39" s="21">
        <f t="shared" si="0"/>
        <v>0</v>
      </c>
      <c r="M39" s="21">
        <f t="shared" si="1"/>
        <v>0.36</v>
      </c>
      <c r="N39" s="15" t="s">
        <v>28</v>
      </c>
      <c r="O39" s="15" t="s">
        <v>29</v>
      </c>
      <c r="P39" s="15"/>
      <c r="Q39" s="15"/>
      <c r="R39" s="15" t="s">
        <v>30</v>
      </c>
      <c r="S39" s="16"/>
      <c r="T39" s="15" t="s">
        <v>31</v>
      </c>
      <c r="U39" s="8">
        <v>3783.84</v>
      </c>
    </row>
    <row r="40" spans="1:21" ht="38.25">
      <c r="A40" s="6">
        <v>45967</v>
      </c>
      <c r="B40" s="7" t="s">
        <v>46</v>
      </c>
      <c r="C40" s="9" t="s">
        <v>85</v>
      </c>
      <c r="D40" s="8">
        <v>-13.41</v>
      </c>
      <c r="E40" s="7" t="s">
        <v>23</v>
      </c>
      <c r="F40" s="15" t="s">
        <v>48</v>
      </c>
      <c r="G40" s="15" t="s">
        <v>63</v>
      </c>
      <c r="H40" s="16" t="s">
        <v>81</v>
      </c>
      <c r="I40" s="15" t="s">
        <v>26</v>
      </c>
      <c r="J40" s="17">
        <v>1</v>
      </c>
      <c r="K40" s="15" t="s">
        <v>27</v>
      </c>
      <c r="L40" s="21">
        <f t="shared" si="0"/>
        <v>0</v>
      </c>
      <c r="M40" s="21">
        <f t="shared" si="1"/>
        <v>13.41</v>
      </c>
      <c r="N40" s="15" t="s">
        <v>28</v>
      </c>
      <c r="O40" s="15" t="s">
        <v>29</v>
      </c>
      <c r="P40" s="15"/>
      <c r="Q40" s="15"/>
      <c r="R40" s="15" t="s">
        <v>30</v>
      </c>
      <c r="S40" s="16"/>
      <c r="T40" s="15" t="s">
        <v>31</v>
      </c>
      <c r="U40" s="8">
        <v>3784.2</v>
      </c>
    </row>
    <row r="41" spans="1:21">
      <c r="A41" s="6">
        <v>45967</v>
      </c>
      <c r="B41" s="7" t="s">
        <v>78</v>
      </c>
      <c r="C41" s="9" t="s">
        <v>79</v>
      </c>
      <c r="D41" s="8">
        <v>-0.16</v>
      </c>
      <c r="E41" s="7" t="s">
        <v>23</v>
      </c>
      <c r="F41" s="15" t="s">
        <v>80</v>
      </c>
      <c r="G41" s="15" t="s">
        <v>63</v>
      </c>
      <c r="H41" s="16" t="s">
        <v>81</v>
      </c>
      <c r="I41" s="15" t="s">
        <v>26</v>
      </c>
      <c r="J41" s="17">
        <v>1</v>
      </c>
      <c r="K41" s="15" t="s">
        <v>27</v>
      </c>
      <c r="L41" s="21">
        <f t="shared" si="0"/>
        <v>0</v>
      </c>
      <c r="M41" s="21">
        <f t="shared" si="1"/>
        <v>0.16</v>
      </c>
      <c r="N41" s="15" t="s">
        <v>28</v>
      </c>
      <c r="O41" s="15" t="s">
        <v>29</v>
      </c>
      <c r="P41" s="15"/>
      <c r="Q41" s="15"/>
      <c r="R41" s="15" t="s">
        <v>30</v>
      </c>
      <c r="S41" s="16"/>
      <c r="T41" s="15" t="s">
        <v>31</v>
      </c>
      <c r="U41" s="8">
        <v>3797.61</v>
      </c>
    </row>
    <row r="42" spans="1:21" ht="38.25">
      <c r="A42" s="6">
        <v>45967</v>
      </c>
      <c r="B42" s="7" t="s">
        <v>46</v>
      </c>
      <c r="C42" s="9" t="s">
        <v>86</v>
      </c>
      <c r="D42" s="8">
        <v>-6.18</v>
      </c>
      <c r="E42" s="7" t="s">
        <v>23</v>
      </c>
      <c r="F42" s="15" t="s">
        <v>48</v>
      </c>
      <c r="G42" s="15" t="s">
        <v>63</v>
      </c>
      <c r="H42" s="16" t="s">
        <v>81</v>
      </c>
      <c r="I42" s="15" t="s">
        <v>26</v>
      </c>
      <c r="J42" s="17">
        <v>1</v>
      </c>
      <c r="K42" s="15" t="s">
        <v>27</v>
      </c>
      <c r="L42" s="21">
        <f t="shared" si="0"/>
        <v>0</v>
      </c>
      <c r="M42" s="21">
        <f t="shared" si="1"/>
        <v>6.18</v>
      </c>
      <c r="N42" s="15" t="s">
        <v>28</v>
      </c>
      <c r="O42" s="15" t="s">
        <v>29</v>
      </c>
      <c r="P42" s="15"/>
      <c r="Q42" s="15"/>
      <c r="R42" s="15" t="s">
        <v>30</v>
      </c>
      <c r="S42" s="16"/>
      <c r="T42" s="15" t="s">
        <v>31</v>
      </c>
      <c r="U42" s="8">
        <v>3797.77</v>
      </c>
    </row>
    <row r="43" spans="1:21">
      <c r="A43" s="6">
        <v>45967</v>
      </c>
      <c r="B43" s="7" t="s">
        <v>78</v>
      </c>
      <c r="C43" s="9" t="s">
        <v>79</v>
      </c>
      <c r="D43" s="8">
        <v>-0.04</v>
      </c>
      <c r="E43" s="7" t="s">
        <v>23</v>
      </c>
      <c r="F43" s="15" t="s">
        <v>80</v>
      </c>
      <c r="G43" s="15" t="s">
        <v>63</v>
      </c>
      <c r="H43" s="16" t="s">
        <v>81</v>
      </c>
      <c r="I43" s="15" t="s">
        <v>26</v>
      </c>
      <c r="J43" s="17">
        <v>1</v>
      </c>
      <c r="K43" s="15" t="s">
        <v>27</v>
      </c>
      <c r="L43" s="21">
        <f t="shared" si="0"/>
        <v>0</v>
      </c>
      <c r="M43" s="21">
        <f t="shared" si="1"/>
        <v>0.04</v>
      </c>
      <c r="N43" s="15" t="s">
        <v>28</v>
      </c>
      <c r="O43" s="15" t="s">
        <v>29</v>
      </c>
      <c r="P43" s="15"/>
      <c r="Q43" s="15"/>
      <c r="R43" s="15" t="s">
        <v>30</v>
      </c>
      <c r="S43" s="16"/>
      <c r="T43" s="15" t="s">
        <v>31</v>
      </c>
      <c r="U43" s="8">
        <v>3803.95</v>
      </c>
    </row>
    <row r="44" spans="1:21" ht="38.25">
      <c r="A44" s="6">
        <v>45967</v>
      </c>
      <c r="B44" s="7" t="s">
        <v>46</v>
      </c>
      <c r="C44" s="9" t="s">
        <v>87</v>
      </c>
      <c r="D44" s="8">
        <v>-1.76</v>
      </c>
      <c r="E44" s="7" t="s">
        <v>23</v>
      </c>
      <c r="F44" s="15" t="s">
        <v>48</v>
      </c>
      <c r="G44" s="15" t="s">
        <v>63</v>
      </c>
      <c r="H44" s="16" t="s">
        <v>81</v>
      </c>
      <c r="I44" s="15" t="s">
        <v>26</v>
      </c>
      <c r="J44" s="17">
        <v>1</v>
      </c>
      <c r="K44" s="15" t="s">
        <v>27</v>
      </c>
      <c r="L44" s="21">
        <f t="shared" si="0"/>
        <v>0</v>
      </c>
      <c r="M44" s="21">
        <f t="shared" si="1"/>
        <v>1.76</v>
      </c>
      <c r="N44" s="15" t="s">
        <v>28</v>
      </c>
      <c r="O44" s="15" t="s">
        <v>29</v>
      </c>
      <c r="P44" s="15"/>
      <c r="Q44" s="15"/>
      <c r="R44" s="15" t="s">
        <v>30</v>
      </c>
      <c r="S44" s="16"/>
      <c r="T44" s="15" t="s">
        <v>31</v>
      </c>
      <c r="U44" s="8">
        <v>3803.99</v>
      </c>
    </row>
    <row r="45" spans="1:21">
      <c r="A45" s="6">
        <v>45967</v>
      </c>
      <c r="B45" s="7" t="s">
        <v>78</v>
      </c>
      <c r="C45" s="9" t="s">
        <v>79</v>
      </c>
      <c r="D45" s="8">
        <v>-0.15</v>
      </c>
      <c r="E45" s="7" t="s">
        <v>23</v>
      </c>
      <c r="F45" s="15" t="s">
        <v>80</v>
      </c>
      <c r="G45" s="15" t="s">
        <v>63</v>
      </c>
      <c r="H45" s="16" t="s">
        <v>81</v>
      </c>
      <c r="I45" s="15" t="s">
        <v>26</v>
      </c>
      <c r="J45" s="17">
        <v>1</v>
      </c>
      <c r="K45" s="15" t="s">
        <v>27</v>
      </c>
      <c r="L45" s="21">
        <f t="shared" si="0"/>
        <v>0</v>
      </c>
      <c r="M45" s="21">
        <f t="shared" si="1"/>
        <v>0.15</v>
      </c>
      <c r="N45" s="15" t="s">
        <v>28</v>
      </c>
      <c r="O45" s="15" t="s">
        <v>29</v>
      </c>
      <c r="P45" s="15"/>
      <c r="Q45" s="15"/>
      <c r="R45" s="15" t="s">
        <v>30</v>
      </c>
      <c r="S45" s="16"/>
      <c r="T45" s="15" t="s">
        <v>31</v>
      </c>
      <c r="U45" s="8">
        <v>3805.75</v>
      </c>
    </row>
    <row r="46" spans="1:21" ht="25.5">
      <c r="A46" s="6">
        <v>45967</v>
      </c>
      <c r="B46" s="7" t="s">
        <v>46</v>
      </c>
      <c r="C46" s="9" t="s">
        <v>88</v>
      </c>
      <c r="D46" s="8">
        <v>-5.65</v>
      </c>
      <c r="E46" s="7" t="s">
        <v>23</v>
      </c>
      <c r="F46" s="15" t="s">
        <v>48</v>
      </c>
      <c r="G46" s="15" t="s">
        <v>63</v>
      </c>
      <c r="H46" s="16" t="s">
        <v>81</v>
      </c>
      <c r="I46" s="15" t="s">
        <v>26</v>
      </c>
      <c r="J46" s="17">
        <v>1</v>
      </c>
      <c r="K46" s="15" t="s">
        <v>27</v>
      </c>
      <c r="L46" s="21">
        <f t="shared" si="0"/>
        <v>0</v>
      </c>
      <c r="M46" s="21">
        <f t="shared" si="1"/>
        <v>5.65</v>
      </c>
      <c r="N46" s="15" t="s">
        <v>28</v>
      </c>
      <c r="O46" s="15" t="s">
        <v>29</v>
      </c>
      <c r="P46" s="15"/>
      <c r="Q46" s="15"/>
      <c r="R46" s="15" t="s">
        <v>30</v>
      </c>
      <c r="S46" s="16"/>
      <c r="T46" s="15" t="s">
        <v>31</v>
      </c>
      <c r="U46" s="8">
        <v>3805.9</v>
      </c>
    </row>
    <row r="47" spans="1:21">
      <c r="A47" s="6">
        <v>45967</v>
      </c>
      <c r="B47" s="7" t="s">
        <v>32</v>
      </c>
      <c r="C47" s="9" t="s">
        <v>89</v>
      </c>
      <c r="D47" s="8">
        <v>200</v>
      </c>
      <c r="E47" s="7" t="s">
        <v>34</v>
      </c>
      <c r="F47" s="15" t="s">
        <v>24</v>
      </c>
      <c r="G47" s="15" t="s">
        <v>52</v>
      </c>
      <c r="H47" s="16"/>
      <c r="I47" s="15" t="s">
        <v>26</v>
      </c>
      <c r="J47" s="17">
        <v>1</v>
      </c>
      <c r="K47" s="15" t="s">
        <v>27</v>
      </c>
      <c r="L47" s="21">
        <f t="shared" si="0"/>
        <v>200</v>
      </c>
      <c r="M47" s="21">
        <f t="shared" si="1"/>
        <v>0</v>
      </c>
      <c r="N47" s="15" t="s">
        <v>28</v>
      </c>
      <c r="O47" s="15" t="s">
        <v>29</v>
      </c>
      <c r="P47" s="15"/>
      <c r="Q47" s="15"/>
      <c r="R47" s="15" t="s">
        <v>30</v>
      </c>
      <c r="S47" s="16"/>
      <c r="T47" s="15" t="s">
        <v>31</v>
      </c>
      <c r="U47" s="8">
        <v>3811.55</v>
      </c>
    </row>
    <row r="48" spans="1:21">
      <c r="A48" s="6">
        <v>45968</v>
      </c>
      <c r="B48" s="7" t="s">
        <v>57</v>
      </c>
      <c r="C48" s="9" t="s">
        <v>74</v>
      </c>
      <c r="D48" s="8">
        <v>-39.950000000000003</v>
      </c>
      <c r="E48" s="7" t="s">
        <v>23</v>
      </c>
      <c r="F48" s="15" t="s">
        <v>48</v>
      </c>
      <c r="G48" s="15" t="s">
        <v>75</v>
      </c>
      <c r="H48" s="16" t="s">
        <v>76</v>
      </c>
      <c r="I48" s="15" t="s">
        <v>26</v>
      </c>
      <c r="J48" s="17">
        <v>1</v>
      </c>
      <c r="K48" s="15" t="s">
        <v>27</v>
      </c>
      <c r="L48" s="21">
        <f t="shared" si="0"/>
        <v>0</v>
      </c>
      <c r="M48" s="21">
        <f t="shared" si="1"/>
        <v>39.950000000000003</v>
      </c>
      <c r="N48" s="15" t="s">
        <v>28</v>
      </c>
      <c r="O48" s="15" t="s">
        <v>29</v>
      </c>
      <c r="P48" s="15"/>
      <c r="Q48" s="15"/>
      <c r="R48" s="15" t="s">
        <v>30</v>
      </c>
      <c r="S48" s="16"/>
      <c r="T48" s="15" t="s">
        <v>31</v>
      </c>
      <c r="U48" s="8">
        <v>3733.64</v>
      </c>
    </row>
    <row r="49" spans="1:21">
      <c r="A49" s="6">
        <v>45968</v>
      </c>
      <c r="B49" s="7" t="s">
        <v>46</v>
      </c>
      <c r="C49" s="9" t="s">
        <v>61</v>
      </c>
      <c r="D49" s="8">
        <v>-10.25</v>
      </c>
      <c r="E49" s="7" t="s">
        <v>23</v>
      </c>
      <c r="F49" s="15" t="s">
        <v>48</v>
      </c>
      <c r="G49" s="15" t="s">
        <v>25</v>
      </c>
      <c r="H49" s="16"/>
      <c r="I49" s="15" t="s">
        <v>26</v>
      </c>
      <c r="J49" s="17">
        <v>1</v>
      </c>
      <c r="K49" s="15" t="s">
        <v>27</v>
      </c>
      <c r="L49" s="21">
        <f t="shared" si="0"/>
        <v>0</v>
      </c>
      <c r="M49" s="21">
        <f t="shared" si="1"/>
        <v>10.25</v>
      </c>
      <c r="N49" s="15" t="s">
        <v>28</v>
      </c>
      <c r="O49" s="15" t="s">
        <v>29</v>
      </c>
      <c r="P49" s="15"/>
      <c r="Q49" s="15"/>
      <c r="R49" s="15" t="s">
        <v>30</v>
      </c>
      <c r="S49" s="16"/>
      <c r="T49" s="15" t="s">
        <v>31</v>
      </c>
      <c r="U49" s="8">
        <v>3773.59</v>
      </c>
    </row>
    <row r="50" spans="1:21">
      <c r="A50" s="6">
        <v>45969</v>
      </c>
      <c r="B50" s="7" t="s">
        <v>32</v>
      </c>
      <c r="C50" s="9" t="s">
        <v>90</v>
      </c>
      <c r="D50" s="8">
        <v>1450</v>
      </c>
      <c r="E50" s="7" t="s">
        <v>34</v>
      </c>
      <c r="F50" s="15" t="s">
        <v>24</v>
      </c>
      <c r="G50" s="15" t="s">
        <v>91</v>
      </c>
      <c r="H50" s="16" t="s">
        <v>92</v>
      </c>
      <c r="I50" s="15" t="s">
        <v>26</v>
      </c>
      <c r="J50" s="17">
        <v>1</v>
      </c>
      <c r="K50" s="15" t="s">
        <v>27</v>
      </c>
      <c r="L50" s="21">
        <f t="shared" si="0"/>
        <v>1450</v>
      </c>
      <c r="M50" s="21">
        <f t="shared" si="1"/>
        <v>0</v>
      </c>
      <c r="N50" s="15" t="s">
        <v>28</v>
      </c>
      <c r="O50" s="15" t="s">
        <v>29</v>
      </c>
      <c r="P50" s="15"/>
      <c r="Q50" s="15"/>
      <c r="R50" s="15" t="s">
        <v>30</v>
      </c>
      <c r="S50" s="16"/>
      <c r="T50" s="15" t="s">
        <v>31</v>
      </c>
      <c r="U50" s="8">
        <v>5183.6400000000003</v>
      </c>
    </row>
    <row r="51" spans="1:21">
      <c r="A51" s="6">
        <v>45971</v>
      </c>
      <c r="B51" s="7" t="s">
        <v>46</v>
      </c>
      <c r="C51" s="9" t="s">
        <v>93</v>
      </c>
      <c r="D51" s="8">
        <v>-38.340000000000003</v>
      </c>
      <c r="E51" s="7" t="s">
        <v>23</v>
      </c>
      <c r="F51" s="15" t="s">
        <v>48</v>
      </c>
      <c r="G51" s="15" t="s">
        <v>49</v>
      </c>
      <c r="H51" s="16"/>
      <c r="I51" s="15" t="s">
        <v>26</v>
      </c>
      <c r="J51" s="17">
        <v>1</v>
      </c>
      <c r="K51" s="15" t="s">
        <v>27</v>
      </c>
      <c r="L51" s="21">
        <f t="shared" si="0"/>
        <v>0</v>
      </c>
      <c r="M51" s="21">
        <f t="shared" si="1"/>
        <v>38.340000000000003</v>
      </c>
      <c r="N51" s="15" t="s">
        <v>28</v>
      </c>
      <c r="O51" s="15" t="s">
        <v>29</v>
      </c>
      <c r="P51" s="15"/>
      <c r="Q51" s="15"/>
      <c r="R51" s="15" t="s">
        <v>30</v>
      </c>
      <c r="S51" s="16"/>
      <c r="T51" s="15" t="s">
        <v>31</v>
      </c>
      <c r="U51" s="8">
        <v>5145.3</v>
      </c>
    </row>
    <row r="52" spans="1:21">
      <c r="A52" s="6">
        <v>45976</v>
      </c>
      <c r="B52" s="7" t="s">
        <v>32</v>
      </c>
      <c r="C52" s="9" t="s">
        <v>94</v>
      </c>
      <c r="D52" s="8">
        <v>70</v>
      </c>
      <c r="E52" s="7" t="s">
        <v>34</v>
      </c>
      <c r="F52" s="15" t="s">
        <v>24</v>
      </c>
      <c r="G52" s="15" t="s">
        <v>52</v>
      </c>
      <c r="H52" s="16"/>
      <c r="I52" s="15" t="s">
        <v>26</v>
      </c>
      <c r="J52" s="17">
        <v>1</v>
      </c>
      <c r="K52" s="15" t="s">
        <v>27</v>
      </c>
      <c r="L52" s="21">
        <f t="shared" si="0"/>
        <v>70</v>
      </c>
      <c r="M52" s="21">
        <f t="shared" si="1"/>
        <v>0</v>
      </c>
      <c r="N52" s="15" t="s">
        <v>28</v>
      </c>
      <c r="O52" s="15" t="s">
        <v>29</v>
      </c>
      <c r="P52" s="15"/>
      <c r="Q52" s="15"/>
      <c r="R52" s="15" t="s">
        <v>30</v>
      </c>
      <c r="S52" s="16"/>
      <c r="T52" s="15" t="s">
        <v>31</v>
      </c>
      <c r="U52" s="8">
        <v>5215.3</v>
      </c>
    </row>
    <row r="53" spans="1:21">
      <c r="A53" s="6">
        <v>45978</v>
      </c>
      <c r="B53" s="7" t="s">
        <v>46</v>
      </c>
      <c r="C53" s="9" t="s">
        <v>61</v>
      </c>
      <c r="D53" s="8">
        <v>-14.7</v>
      </c>
      <c r="E53" s="7" t="s">
        <v>23</v>
      </c>
      <c r="F53" s="15" t="s">
        <v>48</v>
      </c>
      <c r="G53" s="15" t="s">
        <v>25</v>
      </c>
      <c r="H53" s="16"/>
      <c r="I53" s="15" t="s">
        <v>26</v>
      </c>
      <c r="J53" s="17">
        <v>1</v>
      </c>
      <c r="K53" s="15" t="s">
        <v>27</v>
      </c>
      <c r="L53" s="21">
        <f t="shared" si="0"/>
        <v>0</v>
      </c>
      <c r="M53" s="21">
        <f t="shared" si="1"/>
        <v>14.7</v>
      </c>
      <c r="N53" s="15" t="s">
        <v>28</v>
      </c>
      <c r="O53" s="15" t="s">
        <v>29</v>
      </c>
      <c r="P53" s="15"/>
      <c r="Q53" s="15"/>
      <c r="R53" s="15" t="s">
        <v>30</v>
      </c>
      <c r="S53" s="16"/>
      <c r="T53" s="15" t="s">
        <v>31</v>
      </c>
      <c r="U53" s="8">
        <v>5200.6000000000004</v>
      </c>
    </row>
    <row r="54" spans="1:21" ht="25.5">
      <c r="A54" s="6">
        <v>45979</v>
      </c>
      <c r="B54" s="7" t="s">
        <v>57</v>
      </c>
      <c r="C54" s="9" t="s">
        <v>95</v>
      </c>
      <c r="D54" s="8">
        <v>-114.46</v>
      </c>
      <c r="E54" s="7" t="s">
        <v>23</v>
      </c>
      <c r="F54" s="15" t="s">
        <v>48</v>
      </c>
      <c r="G54" s="15" t="s">
        <v>59</v>
      </c>
      <c r="H54" s="16" t="s">
        <v>60</v>
      </c>
      <c r="I54" s="15" t="s">
        <v>26</v>
      </c>
      <c r="J54" s="17">
        <v>1</v>
      </c>
      <c r="K54" s="15" t="s">
        <v>27</v>
      </c>
      <c r="L54" s="21">
        <f t="shared" si="0"/>
        <v>0</v>
      </c>
      <c r="M54" s="21">
        <f t="shared" si="1"/>
        <v>114.46</v>
      </c>
      <c r="N54" s="15" t="s">
        <v>28</v>
      </c>
      <c r="O54" s="15" t="s">
        <v>29</v>
      </c>
      <c r="P54" s="15"/>
      <c r="Q54" s="15"/>
      <c r="R54" s="15" t="s">
        <v>30</v>
      </c>
      <c r="S54" s="16"/>
      <c r="T54" s="15" t="s">
        <v>31</v>
      </c>
      <c r="U54" s="8">
        <v>5153.72</v>
      </c>
    </row>
    <row r="55" spans="1:21">
      <c r="A55" s="6">
        <v>45979</v>
      </c>
      <c r="B55" s="7" t="s">
        <v>32</v>
      </c>
      <c r="C55" s="9" t="s">
        <v>51</v>
      </c>
      <c r="D55" s="8">
        <v>67.58</v>
      </c>
      <c r="E55" s="7" t="s">
        <v>34</v>
      </c>
      <c r="F55" s="15" t="s">
        <v>24</v>
      </c>
      <c r="G55" s="15" t="s">
        <v>52</v>
      </c>
      <c r="H55" s="16"/>
      <c r="I55" s="15" t="s">
        <v>26</v>
      </c>
      <c r="J55" s="17">
        <v>1</v>
      </c>
      <c r="K55" s="15" t="s">
        <v>27</v>
      </c>
      <c r="L55" s="21">
        <f t="shared" si="0"/>
        <v>67.58</v>
      </c>
      <c r="M55" s="21">
        <f t="shared" si="1"/>
        <v>0</v>
      </c>
      <c r="N55" s="15" t="s">
        <v>28</v>
      </c>
      <c r="O55" s="15" t="s">
        <v>29</v>
      </c>
      <c r="P55" s="15"/>
      <c r="Q55" s="15"/>
      <c r="R55" s="15" t="s">
        <v>30</v>
      </c>
      <c r="S55" s="16"/>
      <c r="T55" s="15" t="s">
        <v>31</v>
      </c>
      <c r="U55" s="8">
        <v>5268.18</v>
      </c>
    </row>
    <row r="56" spans="1:21">
      <c r="A56" s="6">
        <v>45992</v>
      </c>
      <c r="B56" s="7" t="s">
        <v>32</v>
      </c>
      <c r="C56" s="9" t="s">
        <v>96</v>
      </c>
      <c r="D56" s="8">
        <v>130</v>
      </c>
      <c r="E56" s="7" t="s">
        <v>34</v>
      </c>
      <c r="F56" s="15" t="s">
        <v>24</v>
      </c>
      <c r="G56" s="15" t="s">
        <v>52</v>
      </c>
      <c r="H56" s="16"/>
      <c r="I56" s="15" t="s">
        <v>26</v>
      </c>
      <c r="J56" s="17">
        <v>1</v>
      </c>
      <c r="K56" s="15" t="s">
        <v>27</v>
      </c>
      <c r="L56" s="21">
        <f t="shared" si="0"/>
        <v>130</v>
      </c>
      <c r="M56" s="21">
        <f t="shared" si="1"/>
        <v>0</v>
      </c>
      <c r="N56" s="15" t="s">
        <v>28</v>
      </c>
      <c r="O56" s="15" t="s">
        <v>29</v>
      </c>
      <c r="P56" s="15"/>
      <c r="Q56" s="15"/>
      <c r="R56" s="15" t="s">
        <v>30</v>
      </c>
      <c r="S56" s="16"/>
      <c r="T56" s="15" t="s">
        <v>31</v>
      </c>
      <c r="U56" s="8">
        <v>5361.87</v>
      </c>
    </row>
    <row r="57" spans="1:21">
      <c r="A57" s="6">
        <v>45992</v>
      </c>
      <c r="B57" s="7" t="s">
        <v>32</v>
      </c>
      <c r="C57" s="9" t="s">
        <v>51</v>
      </c>
      <c r="D57" s="8">
        <v>78.150000000000006</v>
      </c>
      <c r="E57" s="7" t="s">
        <v>34</v>
      </c>
      <c r="F57" s="15" t="s">
        <v>24</v>
      </c>
      <c r="G57" s="15" t="s">
        <v>52</v>
      </c>
      <c r="H57" s="16"/>
      <c r="I57" s="15" t="s">
        <v>26</v>
      </c>
      <c r="J57" s="17">
        <v>1</v>
      </c>
      <c r="K57" s="15" t="s">
        <v>27</v>
      </c>
      <c r="L57" s="21">
        <f t="shared" si="0"/>
        <v>78.150000000000006</v>
      </c>
      <c r="M57" s="21">
        <f t="shared" si="1"/>
        <v>0</v>
      </c>
      <c r="N57" s="15" t="s">
        <v>28</v>
      </c>
      <c r="O57" s="15" t="s">
        <v>29</v>
      </c>
      <c r="P57" s="15"/>
      <c r="Q57" s="15"/>
      <c r="R57" s="15" t="s">
        <v>30</v>
      </c>
      <c r="S57" s="16"/>
      <c r="T57" s="15" t="s">
        <v>31</v>
      </c>
      <c r="U57" s="8">
        <v>5231.87</v>
      </c>
    </row>
    <row r="58" spans="1:21">
      <c r="A58" s="6">
        <v>45995</v>
      </c>
      <c r="B58" s="7" t="s">
        <v>32</v>
      </c>
      <c r="C58" s="9" t="s">
        <v>97</v>
      </c>
      <c r="D58" s="8">
        <v>240</v>
      </c>
      <c r="E58" s="7" t="s">
        <v>34</v>
      </c>
      <c r="F58" s="15" t="s">
        <v>24</v>
      </c>
      <c r="G58" s="15" t="s">
        <v>52</v>
      </c>
      <c r="H58" s="16"/>
      <c r="I58" s="15" t="s">
        <v>26</v>
      </c>
      <c r="J58" s="17">
        <v>1</v>
      </c>
      <c r="K58" s="15" t="s">
        <v>27</v>
      </c>
      <c r="L58" s="21">
        <f t="shared" si="0"/>
        <v>240</v>
      </c>
      <c r="M58" s="21">
        <f t="shared" si="1"/>
        <v>0</v>
      </c>
      <c r="N58" s="15" t="s">
        <v>28</v>
      </c>
      <c r="O58" s="15" t="s">
        <v>29</v>
      </c>
      <c r="P58" s="15"/>
      <c r="Q58" s="15"/>
      <c r="R58" s="15" t="s">
        <v>30</v>
      </c>
      <c r="S58" s="16"/>
      <c r="T58" s="15" t="s">
        <v>31</v>
      </c>
      <c r="U58" s="8">
        <v>5601.87</v>
      </c>
    </row>
    <row r="59" spans="1:21">
      <c r="A59" s="6">
        <v>46002</v>
      </c>
      <c r="B59" s="7" t="s">
        <v>46</v>
      </c>
      <c r="C59" s="9" t="s">
        <v>61</v>
      </c>
      <c r="D59" s="8">
        <v>-9.25</v>
      </c>
      <c r="E59" s="7" t="s">
        <v>23</v>
      </c>
      <c r="F59" s="15" t="s">
        <v>48</v>
      </c>
      <c r="G59" s="15" t="s">
        <v>25</v>
      </c>
      <c r="H59" s="16"/>
      <c r="I59" s="15" t="s">
        <v>26</v>
      </c>
      <c r="J59" s="17">
        <v>1</v>
      </c>
      <c r="K59" s="15" t="s">
        <v>27</v>
      </c>
      <c r="L59" s="21">
        <f t="shared" si="0"/>
        <v>0</v>
      </c>
      <c r="M59" s="21">
        <f t="shared" si="1"/>
        <v>9.25</v>
      </c>
      <c r="N59" s="15" t="s">
        <v>28</v>
      </c>
      <c r="O59" s="15" t="s">
        <v>29</v>
      </c>
      <c r="P59" s="15"/>
      <c r="Q59" s="15"/>
      <c r="R59" s="15" t="s">
        <v>30</v>
      </c>
      <c r="S59" s="16"/>
      <c r="T59" s="15" t="s">
        <v>31</v>
      </c>
      <c r="U59" s="8">
        <v>5592.62</v>
      </c>
    </row>
    <row r="60" spans="1:21">
      <c r="A60" s="6">
        <v>46006</v>
      </c>
      <c r="B60" s="7" t="s">
        <v>32</v>
      </c>
      <c r="C60" s="9" t="s">
        <v>51</v>
      </c>
      <c r="D60" s="8">
        <v>78.150000000000006</v>
      </c>
      <c r="E60" s="7" t="s">
        <v>34</v>
      </c>
      <c r="F60" s="15" t="s">
        <v>24</v>
      </c>
      <c r="G60" s="15" t="s">
        <v>52</v>
      </c>
      <c r="H60" s="16"/>
      <c r="I60" s="15" t="s">
        <v>26</v>
      </c>
      <c r="J60" s="17">
        <v>1</v>
      </c>
      <c r="K60" s="15" t="s">
        <v>27</v>
      </c>
      <c r="L60" s="21">
        <f t="shared" si="0"/>
        <v>78.150000000000006</v>
      </c>
      <c r="M60" s="21">
        <f t="shared" si="1"/>
        <v>0</v>
      </c>
      <c r="N60" s="15" t="s">
        <v>28</v>
      </c>
      <c r="O60" s="15" t="s">
        <v>29</v>
      </c>
      <c r="P60" s="15"/>
      <c r="Q60" s="15"/>
      <c r="R60" s="15" t="s">
        <v>30</v>
      </c>
      <c r="S60" s="16"/>
      <c r="T60" s="15" t="s">
        <v>31</v>
      </c>
      <c r="U60" s="8">
        <v>5670.77</v>
      </c>
    </row>
    <row r="61" spans="1:21">
      <c r="A61" s="6">
        <v>46021</v>
      </c>
      <c r="B61" s="7" t="s">
        <v>21</v>
      </c>
      <c r="C61" s="9" t="s">
        <v>98</v>
      </c>
      <c r="D61" s="8">
        <v>-300</v>
      </c>
      <c r="E61" s="7" t="s">
        <v>23</v>
      </c>
      <c r="F61" s="15" t="s">
        <v>24</v>
      </c>
      <c r="G61" s="15" t="s">
        <v>99</v>
      </c>
      <c r="H61" s="16"/>
      <c r="I61" s="15" t="s">
        <v>100</v>
      </c>
      <c r="J61" s="17">
        <v>0</v>
      </c>
      <c r="K61" s="15" t="s">
        <v>44</v>
      </c>
      <c r="L61" s="21">
        <f t="shared" si="0"/>
        <v>0</v>
      </c>
      <c r="M61" s="21">
        <f t="shared" si="1"/>
        <v>0</v>
      </c>
      <c r="N61" s="15" t="s">
        <v>28</v>
      </c>
      <c r="O61" s="15" t="s">
        <v>29</v>
      </c>
      <c r="P61" s="15"/>
      <c r="Q61" s="15"/>
      <c r="R61" s="15" t="s">
        <v>30</v>
      </c>
      <c r="S61" s="16"/>
      <c r="T61" s="15" t="s">
        <v>31</v>
      </c>
      <c r="U61" s="8">
        <v>5370.77</v>
      </c>
    </row>
    <row r="62" spans="1:21">
      <c r="A62" s="6">
        <v>46031</v>
      </c>
      <c r="B62" s="7" t="s">
        <v>57</v>
      </c>
      <c r="C62" s="9" t="s">
        <v>101</v>
      </c>
      <c r="D62" s="8">
        <v>-154.32</v>
      </c>
      <c r="E62" s="7" t="s">
        <v>23</v>
      </c>
      <c r="F62" s="15" t="s">
        <v>48</v>
      </c>
      <c r="G62" s="15" t="s">
        <v>72</v>
      </c>
      <c r="H62" s="16"/>
      <c r="I62" s="15" t="s">
        <v>26</v>
      </c>
      <c r="J62" s="17">
        <v>1</v>
      </c>
      <c r="K62" s="15" t="s">
        <v>27</v>
      </c>
      <c r="L62" s="21">
        <f t="shared" si="0"/>
        <v>0</v>
      </c>
      <c r="M62" s="21">
        <f t="shared" si="1"/>
        <v>154.32</v>
      </c>
      <c r="N62" s="15" t="s">
        <v>28</v>
      </c>
      <c r="O62" s="15" t="s">
        <v>29</v>
      </c>
      <c r="P62" s="15"/>
      <c r="Q62" s="15"/>
      <c r="R62" s="15" t="s">
        <v>30</v>
      </c>
      <c r="S62" s="16"/>
      <c r="T62" s="15" t="s">
        <v>31</v>
      </c>
      <c r="U62" s="8">
        <v>5386.45</v>
      </c>
    </row>
    <row r="63" spans="1:21">
      <c r="A63" s="6">
        <v>46031</v>
      </c>
      <c r="B63" s="7" t="s">
        <v>32</v>
      </c>
      <c r="C63" s="9" t="s">
        <v>102</v>
      </c>
      <c r="D63" s="8">
        <v>170</v>
      </c>
      <c r="E63" s="7" t="s">
        <v>34</v>
      </c>
      <c r="F63" s="15" t="s">
        <v>24</v>
      </c>
      <c r="G63" s="15" t="s">
        <v>52</v>
      </c>
      <c r="H63" s="16"/>
      <c r="I63" s="15" t="s">
        <v>26</v>
      </c>
      <c r="J63" s="17">
        <v>1</v>
      </c>
      <c r="K63" s="15" t="s">
        <v>27</v>
      </c>
      <c r="L63" s="21">
        <f t="shared" si="0"/>
        <v>170</v>
      </c>
      <c r="M63" s="21">
        <f t="shared" si="1"/>
        <v>0</v>
      </c>
      <c r="N63" s="15" t="s">
        <v>28</v>
      </c>
      <c r="O63" s="15" t="s">
        <v>29</v>
      </c>
      <c r="P63" s="15"/>
      <c r="Q63" s="15"/>
      <c r="R63" s="15" t="s">
        <v>30</v>
      </c>
      <c r="S63" s="16"/>
      <c r="T63" s="15" t="s">
        <v>31</v>
      </c>
      <c r="U63" s="8">
        <v>5540.77</v>
      </c>
    </row>
    <row r="64" spans="1:21">
      <c r="A64" s="6">
        <v>46032</v>
      </c>
      <c r="B64" s="7" t="s">
        <v>32</v>
      </c>
      <c r="C64" s="9" t="s">
        <v>103</v>
      </c>
      <c r="D64" s="8">
        <v>170</v>
      </c>
      <c r="E64" s="7" t="s">
        <v>34</v>
      </c>
      <c r="F64" s="15" t="s">
        <v>24</v>
      </c>
      <c r="G64" s="15" t="s">
        <v>52</v>
      </c>
      <c r="H64" s="16"/>
      <c r="I64" s="15" t="s">
        <v>26</v>
      </c>
      <c r="J64" s="17">
        <v>1</v>
      </c>
      <c r="K64" s="15" t="s">
        <v>27</v>
      </c>
      <c r="L64" s="21">
        <f t="shared" si="0"/>
        <v>170</v>
      </c>
      <c r="M64" s="21">
        <f t="shared" si="1"/>
        <v>0</v>
      </c>
      <c r="N64" s="15" t="s">
        <v>28</v>
      </c>
      <c r="O64" s="15" t="s">
        <v>29</v>
      </c>
      <c r="P64" s="15"/>
      <c r="Q64" s="15"/>
      <c r="R64" s="15" t="s">
        <v>30</v>
      </c>
      <c r="S64" s="16"/>
      <c r="T64" s="15" t="s">
        <v>31</v>
      </c>
      <c r="U64" s="8">
        <v>5556.45</v>
      </c>
    </row>
    <row r="65" spans="1:21">
      <c r="A65" s="6">
        <v>46034</v>
      </c>
      <c r="B65" s="7" t="s">
        <v>46</v>
      </c>
      <c r="C65" s="9" t="s">
        <v>61</v>
      </c>
      <c r="D65" s="8">
        <v>-14.24</v>
      </c>
      <c r="E65" s="7" t="s">
        <v>23</v>
      </c>
      <c r="F65" s="15" t="s">
        <v>48</v>
      </c>
      <c r="G65" s="15" t="s">
        <v>25</v>
      </c>
      <c r="H65" s="16"/>
      <c r="I65" s="15" t="s">
        <v>26</v>
      </c>
      <c r="J65" s="17">
        <v>1</v>
      </c>
      <c r="K65" s="15" t="s">
        <v>27</v>
      </c>
      <c r="L65" s="21">
        <f t="shared" si="0"/>
        <v>0</v>
      </c>
      <c r="M65" s="21">
        <f t="shared" si="1"/>
        <v>14.24</v>
      </c>
      <c r="N65" s="15" t="s">
        <v>28</v>
      </c>
      <c r="O65" s="15" t="s">
        <v>29</v>
      </c>
      <c r="P65" s="15"/>
      <c r="Q65" s="15"/>
      <c r="R65" s="15" t="s">
        <v>30</v>
      </c>
      <c r="S65" s="16"/>
      <c r="T65" s="15" t="s">
        <v>31</v>
      </c>
      <c r="U65" s="8">
        <v>5531.96</v>
      </c>
    </row>
    <row r="66" spans="1:21">
      <c r="A66" s="6">
        <v>46034</v>
      </c>
      <c r="B66" s="7" t="s">
        <v>46</v>
      </c>
      <c r="C66" s="9" t="s">
        <v>61</v>
      </c>
      <c r="D66" s="8">
        <v>-10.25</v>
      </c>
      <c r="E66" s="7" t="s">
        <v>23</v>
      </c>
      <c r="F66" s="15" t="s">
        <v>48</v>
      </c>
      <c r="G66" s="15" t="s">
        <v>25</v>
      </c>
      <c r="H66" s="16"/>
      <c r="I66" s="15" t="s">
        <v>26</v>
      </c>
      <c r="J66" s="17">
        <v>1</v>
      </c>
      <c r="K66" s="15" t="s">
        <v>27</v>
      </c>
      <c r="L66" s="21">
        <f t="shared" ref="L66:L129" si="2">IF(AND($E66="Income",$I66="Business",$K66="Yes"),MAX($D66,0)*$J66,0)</f>
        <v>0</v>
      </c>
      <c r="M66" s="21">
        <f t="shared" ref="M66:M129" si="3">IF(AND($E66="Expense",OR($I66="Business",$I66="Mixed"),OR($K66="Yes",$K66="Stock")),ABS(MIN($D66,0))*$J66,0)</f>
        <v>10.25</v>
      </c>
      <c r="N66" s="15" t="s">
        <v>28</v>
      </c>
      <c r="O66" s="15" t="s">
        <v>29</v>
      </c>
      <c r="P66" s="15"/>
      <c r="Q66" s="15"/>
      <c r="R66" s="15" t="s">
        <v>30</v>
      </c>
      <c r="S66" s="16"/>
      <c r="T66" s="15" t="s">
        <v>31</v>
      </c>
      <c r="U66" s="8">
        <v>5546.2</v>
      </c>
    </row>
    <row r="67" spans="1:21">
      <c r="A67" s="6">
        <v>46043</v>
      </c>
      <c r="B67" s="7" t="s">
        <v>57</v>
      </c>
      <c r="C67" s="9" t="s">
        <v>104</v>
      </c>
      <c r="D67" s="8">
        <v>-17.260000000000002</v>
      </c>
      <c r="E67" s="7" t="s">
        <v>23</v>
      </c>
      <c r="F67" s="15" t="s">
        <v>48</v>
      </c>
      <c r="G67" s="15" t="s">
        <v>105</v>
      </c>
      <c r="H67" s="16"/>
      <c r="I67" s="15" t="s">
        <v>26</v>
      </c>
      <c r="J67" s="17">
        <v>1</v>
      </c>
      <c r="K67" s="15" t="s">
        <v>27</v>
      </c>
      <c r="L67" s="21">
        <f t="shared" si="2"/>
        <v>0</v>
      </c>
      <c r="M67" s="21">
        <f t="shared" si="3"/>
        <v>17.260000000000002</v>
      </c>
      <c r="N67" s="15" t="s">
        <v>28</v>
      </c>
      <c r="O67" s="15" t="s">
        <v>29</v>
      </c>
      <c r="P67" s="15"/>
      <c r="Q67" s="15"/>
      <c r="R67" s="15" t="s">
        <v>30</v>
      </c>
      <c r="S67" s="16"/>
      <c r="T67" s="15" t="s">
        <v>31</v>
      </c>
      <c r="U67" s="8">
        <v>5514.7</v>
      </c>
    </row>
    <row r="68" spans="1:21">
      <c r="A68" s="6">
        <v>46044</v>
      </c>
      <c r="B68" s="7" t="s">
        <v>46</v>
      </c>
      <c r="C68" s="9" t="s">
        <v>61</v>
      </c>
      <c r="D68" s="8">
        <v>-12.7</v>
      </c>
      <c r="E68" s="7" t="s">
        <v>23</v>
      </c>
      <c r="F68" s="15" t="s">
        <v>48</v>
      </c>
      <c r="G68" s="15" t="s">
        <v>25</v>
      </c>
      <c r="H68" s="16"/>
      <c r="I68" s="15" t="s">
        <v>26</v>
      </c>
      <c r="J68" s="17">
        <v>1</v>
      </c>
      <c r="K68" s="15" t="s">
        <v>27</v>
      </c>
      <c r="L68" s="21">
        <f t="shared" si="2"/>
        <v>0</v>
      </c>
      <c r="M68" s="21">
        <f t="shared" si="3"/>
        <v>12.7</v>
      </c>
      <c r="N68" s="15" t="s">
        <v>28</v>
      </c>
      <c r="O68" s="15" t="s">
        <v>29</v>
      </c>
      <c r="P68" s="15"/>
      <c r="Q68" s="15"/>
      <c r="R68" s="15" t="s">
        <v>30</v>
      </c>
      <c r="S68" s="16"/>
      <c r="T68" s="15" t="s">
        <v>31</v>
      </c>
      <c r="U68" s="8">
        <v>5502</v>
      </c>
    </row>
    <row r="69" spans="1:21">
      <c r="A69" s="6">
        <v>46048</v>
      </c>
      <c r="B69" s="7" t="s">
        <v>32</v>
      </c>
      <c r="C69" s="9" t="s">
        <v>51</v>
      </c>
      <c r="D69" s="8">
        <v>76.3</v>
      </c>
      <c r="E69" s="7" t="s">
        <v>34</v>
      </c>
      <c r="F69" s="15" t="s">
        <v>24</v>
      </c>
      <c r="G69" s="15" t="s">
        <v>52</v>
      </c>
      <c r="H69" s="16"/>
      <c r="I69" s="15" t="s">
        <v>26</v>
      </c>
      <c r="J69" s="17">
        <v>1</v>
      </c>
      <c r="K69" s="15" t="s">
        <v>27</v>
      </c>
      <c r="L69" s="21">
        <f t="shared" si="2"/>
        <v>76.3</v>
      </c>
      <c r="M69" s="21">
        <f t="shared" si="3"/>
        <v>0</v>
      </c>
      <c r="N69" s="15" t="s">
        <v>28</v>
      </c>
      <c r="O69" s="15" t="s">
        <v>29</v>
      </c>
      <c r="P69" s="15"/>
      <c r="Q69" s="15"/>
      <c r="R69" s="15" t="s">
        <v>30</v>
      </c>
      <c r="S69" s="16"/>
      <c r="T69" s="15" t="s">
        <v>31</v>
      </c>
      <c r="U69" s="8">
        <v>5578.3</v>
      </c>
    </row>
    <row r="70" spans="1:21">
      <c r="A70" s="6">
        <v>46050</v>
      </c>
      <c r="B70" s="7" t="s">
        <v>21</v>
      </c>
      <c r="C70" s="9" t="s">
        <v>106</v>
      </c>
      <c r="D70" s="8">
        <v>-39.950000000000003</v>
      </c>
      <c r="E70" s="7" t="s">
        <v>23</v>
      </c>
      <c r="F70" s="15" t="s">
        <v>24</v>
      </c>
      <c r="G70" s="15" t="s">
        <v>75</v>
      </c>
      <c r="H70" s="16" t="s">
        <v>76</v>
      </c>
      <c r="I70" s="15" t="s">
        <v>26</v>
      </c>
      <c r="J70" s="17">
        <v>1</v>
      </c>
      <c r="K70" s="15" t="s">
        <v>27</v>
      </c>
      <c r="L70" s="21">
        <f t="shared" si="2"/>
        <v>0</v>
      </c>
      <c r="M70" s="21">
        <f t="shared" si="3"/>
        <v>39.950000000000003</v>
      </c>
      <c r="N70" s="15" t="s">
        <v>28</v>
      </c>
      <c r="O70" s="15" t="s">
        <v>29</v>
      </c>
      <c r="P70" s="15"/>
      <c r="Q70" s="15"/>
      <c r="R70" s="15" t="s">
        <v>30</v>
      </c>
      <c r="S70" s="16"/>
      <c r="T70" s="15" t="s">
        <v>31</v>
      </c>
      <c r="U70" s="8">
        <v>5538.35</v>
      </c>
    </row>
    <row r="71" spans="1:21">
      <c r="A71" s="6">
        <v>46051</v>
      </c>
      <c r="B71" s="7" t="s">
        <v>32</v>
      </c>
      <c r="C71" s="9" t="s">
        <v>107</v>
      </c>
      <c r="D71" s="8">
        <v>170</v>
      </c>
      <c r="E71" s="7" t="s">
        <v>34</v>
      </c>
      <c r="F71" s="15" t="s">
        <v>24</v>
      </c>
      <c r="G71" s="15" t="s">
        <v>52</v>
      </c>
      <c r="H71" s="16"/>
      <c r="I71" s="15" t="s">
        <v>26</v>
      </c>
      <c r="J71" s="17">
        <v>1</v>
      </c>
      <c r="K71" s="15" t="s">
        <v>27</v>
      </c>
      <c r="L71" s="21">
        <f t="shared" si="2"/>
        <v>170</v>
      </c>
      <c r="M71" s="21">
        <f t="shared" si="3"/>
        <v>0</v>
      </c>
      <c r="N71" s="15" t="s">
        <v>28</v>
      </c>
      <c r="O71" s="15" t="s">
        <v>29</v>
      </c>
      <c r="P71" s="15"/>
      <c r="Q71" s="15"/>
      <c r="R71" s="15" t="s">
        <v>30</v>
      </c>
      <c r="S71" s="16"/>
      <c r="T71" s="15" t="s">
        <v>31</v>
      </c>
      <c r="U71" s="8">
        <v>5708.35</v>
      </c>
    </row>
    <row r="72" spans="1:21" ht="25.5">
      <c r="A72" s="6">
        <v>46055</v>
      </c>
      <c r="B72" s="7" t="s">
        <v>57</v>
      </c>
      <c r="C72" s="9" t="s">
        <v>108</v>
      </c>
      <c r="D72" s="8">
        <v>-95.97</v>
      </c>
      <c r="E72" s="7" t="s">
        <v>23</v>
      </c>
      <c r="F72" s="15" t="s">
        <v>48</v>
      </c>
      <c r="G72" s="15" t="s">
        <v>59</v>
      </c>
      <c r="H72" s="16" t="s">
        <v>109</v>
      </c>
      <c r="I72" s="15" t="s">
        <v>26</v>
      </c>
      <c r="J72" s="17">
        <v>1</v>
      </c>
      <c r="K72" s="15" t="s">
        <v>27</v>
      </c>
      <c r="L72" s="21">
        <f t="shared" si="2"/>
        <v>0</v>
      </c>
      <c r="M72" s="21">
        <f t="shared" si="3"/>
        <v>95.97</v>
      </c>
      <c r="N72" s="15" t="s">
        <v>28</v>
      </c>
      <c r="O72" s="15" t="s">
        <v>29</v>
      </c>
      <c r="P72" s="15"/>
      <c r="Q72" s="15"/>
      <c r="R72" s="15" t="s">
        <v>30</v>
      </c>
      <c r="S72" s="16"/>
      <c r="T72" s="15" t="s">
        <v>31</v>
      </c>
      <c r="U72" s="8">
        <v>5612.38</v>
      </c>
    </row>
    <row r="73" spans="1:21">
      <c r="A73" s="6">
        <v>46058</v>
      </c>
      <c r="B73" s="7" t="s">
        <v>46</v>
      </c>
      <c r="C73" s="9" t="s">
        <v>61</v>
      </c>
      <c r="D73" s="8">
        <v>-16.55</v>
      </c>
      <c r="E73" s="7" t="s">
        <v>23</v>
      </c>
      <c r="F73" s="15" t="s">
        <v>48</v>
      </c>
      <c r="G73" s="15" t="s">
        <v>25</v>
      </c>
      <c r="H73" s="16"/>
      <c r="I73" s="15" t="s">
        <v>26</v>
      </c>
      <c r="J73" s="17">
        <v>1</v>
      </c>
      <c r="K73" s="15" t="s">
        <v>27</v>
      </c>
      <c r="L73" s="21">
        <f t="shared" si="2"/>
        <v>0</v>
      </c>
      <c r="M73" s="21">
        <f t="shared" si="3"/>
        <v>16.55</v>
      </c>
      <c r="N73" s="15" t="s">
        <v>28</v>
      </c>
      <c r="O73" s="15" t="s">
        <v>29</v>
      </c>
      <c r="P73" s="15"/>
      <c r="Q73" s="15"/>
      <c r="R73" s="15" t="s">
        <v>30</v>
      </c>
      <c r="S73" s="16"/>
      <c r="T73" s="15" t="s">
        <v>31</v>
      </c>
      <c r="U73" s="8">
        <v>5595.83</v>
      </c>
    </row>
    <row r="74" spans="1:21">
      <c r="A74" s="6">
        <v>46059</v>
      </c>
      <c r="B74" s="7" t="s">
        <v>32</v>
      </c>
      <c r="C74" s="9" t="s">
        <v>51</v>
      </c>
      <c r="D74" s="8">
        <v>256.52999999999997</v>
      </c>
      <c r="E74" s="7" t="s">
        <v>34</v>
      </c>
      <c r="F74" s="15" t="s">
        <v>24</v>
      </c>
      <c r="G74" s="15" t="s">
        <v>52</v>
      </c>
      <c r="H74" s="16"/>
      <c r="I74" s="15" t="s">
        <v>26</v>
      </c>
      <c r="J74" s="17">
        <v>1</v>
      </c>
      <c r="K74" s="15" t="s">
        <v>27</v>
      </c>
      <c r="L74" s="21">
        <f t="shared" si="2"/>
        <v>256.52999999999997</v>
      </c>
      <c r="M74" s="21">
        <f t="shared" si="3"/>
        <v>0</v>
      </c>
      <c r="N74" s="15" t="s">
        <v>28</v>
      </c>
      <c r="O74" s="15" t="s">
        <v>29</v>
      </c>
      <c r="P74" s="15"/>
      <c r="Q74" s="15"/>
      <c r="R74" s="15" t="s">
        <v>30</v>
      </c>
      <c r="S74" s="16"/>
      <c r="T74" s="15" t="s">
        <v>31</v>
      </c>
      <c r="U74" s="8">
        <v>5852.36</v>
      </c>
    </row>
    <row r="75" spans="1:21">
      <c r="A75" s="6">
        <v>46062</v>
      </c>
      <c r="B75" s="7" t="s">
        <v>46</v>
      </c>
      <c r="C75" s="9" t="s">
        <v>61</v>
      </c>
      <c r="D75" s="8">
        <v>-18.350000000000001</v>
      </c>
      <c r="E75" s="7" t="s">
        <v>23</v>
      </c>
      <c r="F75" s="15" t="s">
        <v>48</v>
      </c>
      <c r="G75" s="15" t="s">
        <v>25</v>
      </c>
      <c r="H75" s="16"/>
      <c r="I75" s="15" t="s">
        <v>26</v>
      </c>
      <c r="J75" s="17">
        <v>1</v>
      </c>
      <c r="K75" s="15" t="s">
        <v>27</v>
      </c>
      <c r="L75" s="21">
        <f t="shared" si="2"/>
        <v>0</v>
      </c>
      <c r="M75" s="21">
        <f t="shared" si="3"/>
        <v>18.350000000000001</v>
      </c>
      <c r="N75" s="15" t="s">
        <v>28</v>
      </c>
      <c r="O75" s="15" t="s">
        <v>29</v>
      </c>
      <c r="P75" s="15"/>
      <c r="Q75" s="15"/>
      <c r="R75" s="15" t="s">
        <v>30</v>
      </c>
      <c r="S75" s="16"/>
      <c r="T75" s="15" t="s">
        <v>31</v>
      </c>
      <c r="U75" s="8">
        <v>5834.01</v>
      </c>
    </row>
    <row r="76" spans="1:21">
      <c r="A76" s="6">
        <v>46063</v>
      </c>
      <c r="B76" s="7" t="s">
        <v>32</v>
      </c>
      <c r="C76" s="9" t="s">
        <v>51</v>
      </c>
      <c r="D76" s="8">
        <v>179.01</v>
      </c>
      <c r="E76" s="7" t="s">
        <v>34</v>
      </c>
      <c r="F76" s="15" t="s">
        <v>24</v>
      </c>
      <c r="G76" s="15" t="s">
        <v>52</v>
      </c>
      <c r="H76" s="16"/>
      <c r="I76" s="15" t="s">
        <v>26</v>
      </c>
      <c r="J76" s="17">
        <v>1</v>
      </c>
      <c r="K76" s="15" t="s">
        <v>27</v>
      </c>
      <c r="L76" s="21">
        <f t="shared" si="2"/>
        <v>179.01</v>
      </c>
      <c r="M76" s="21">
        <f t="shared" si="3"/>
        <v>0</v>
      </c>
      <c r="N76" s="15" t="s">
        <v>28</v>
      </c>
      <c r="O76" s="15" t="s">
        <v>29</v>
      </c>
      <c r="P76" s="15"/>
      <c r="Q76" s="15"/>
      <c r="R76" s="15" t="s">
        <v>30</v>
      </c>
      <c r="S76" s="16"/>
      <c r="T76" s="15" t="s">
        <v>31</v>
      </c>
      <c r="U76" s="8">
        <v>6013.02</v>
      </c>
    </row>
    <row r="77" spans="1:21">
      <c r="A77" s="6">
        <v>46066</v>
      </c>
      <c r="B77" s="7" t="s">
        <v>21</v>
      </c>
      <c r="C77" s="9" t="s">
        <v>110</v>
      </c>
      <c r="D77" s="8">
        <v>-39.950000000000003</v>
      </c>
      <c r="E77" s="7" t="s">
        <v>23</v>
      </c>
      <c r="F77" s="15" t="s">
        <v>24</v>
      </c>
      <c r="G77" s="15" t="s">
        <v>111</v>
      </c>
      <c r="H77" s="16" t="s">
        <v>112</v>
      </c>
      <c r="I77" s="15" t="s">
        <v>26</v>
      </c>
      <c r="J77" s="17">
        <v>1</v>
      </c>
      <c r="K77" s="15" t="s">
        <v>27</v>
      </c>
      <c r="L77" s="21">
        <f t="shared" si="2"/>
        <v>0</v>
      </c>
      <c r="M77" s="21">
        <f t="shared" si="3"/>
        <v>39.950000000000003</v>
      </c>
      <c r="N77" s="15" t="s">
        <v>28</v>
      </c>
      <c r="O77" s="15" t="s">
        <v>29</v>
      </c>
      <c r="P77" s="15"/>
      <c r="Q77" s="15"/>
      <c r="R77" s="15" t="s">
        <v>30</v>
      </c>
      <c r="S77" s="16"/>
      <c r="T77" s="15" t="s">
        <v>31</v>
      </c>
      <c r="U77" s="8">
        <v>5973.07</v>
      </c>
    </row>
    <row r="78" spans="1:21">
      <c r="A78" s="6">
        <v>46069</v>
      </c>
      <c r="B78" s="7" t="s">
        <v>46</v>
      </c>
      <c r="C78" s="9" t="s">
        <v>61</v>
      </c>
      <c r="D78" s="8">
        <v>-12.2</v>
      </c>
      <c r="E78" s="7" t="s">
        <v>23</v>
      </c>
      <c r="F78" s="15" t="s">
        <v>48</v>
      </c>
      <c r="G78" s="15" t="s">
        <v>25</v>
      </c>
      <c r="H78" s="16"/>
      <c r="I78" s="15" t="s">
        <v>26</v>
      </c>
      <c r="J78" s="17">
        <v>1</v>
      </c>
      <c r="K78" s="15" t="s">
        <v>27</v>
      </c>
      <c r="L78" s="21">
        <f t="shared" si="2"/>
        <v>0</v>
      </c>
      <c r="M78" s="21">
        <f t="shared" si="3"/>
        <v>12.2</v>
      </c>
      <c r="N78" s="15" t="s">
        <v>28</v>
      </c>
      <c r="O78" s="15" t="s">
        <v>29</v>
      </c>
      <c r="P78" s="15"/>
      <c r="Q78" s="15"/>
      <c r="R78" s="15" t="s">
        <v>30</v>
      </c>
      <c r="S78" s="16"/>
      <c r="T78" s="15" t="s">
        <v>31</v>
      </c>
      <c r="U78" s="8">
        <v>5897.28</v>
      </c>
    </row>
    <row r="79" spans="1:21">
      <c r="A79" s="6">
        <v>46069</v>
      </c>
      <c r="B79" s="7" t="s">
        <v>57</v>
      </c>
      <c r="C79" s="9" t="s">
        <v>113</v>
      </c>
      <c r="D79" s="8">
        <v>-63.59</v>
      </c>
      <c r="E79" s="7" t="s">
        <v>23</v>
      </c>
      <c r="F79" s="15" t="s">
        <v>48</v>
      </c>
      <c r="G79" s="15" t="s">
        <v>43</v>
      </c>
      <c r="H79" s="16" t="s">
        <v>114</v>
      </c>
      <c r="I79" s="15" t="s">
        <v>26</v>
      </c>
      <c r="J79" s="17">
        <v>1</v>
      </c>
      <c r="K79" s="15" t="s">
        <v>27</v>
      </c>
      <c r="L79" s="21">
        <f t="shared" si="2"/>
        <v>0</v>
      </c>
      <c r="M79" s="21">
        <f t="shared" si="3"/>
        <v>63.59</v>
      </c>
      <c r="N79" s="15" t="s">
        <v>28</v>
      </c>
      <c r="O79" s="15" t="s">
        <v>29</v>
      </c>
      <c r="P79" s="15"/>
      <c r="Q79" s="15"/>
      <c r="R79" s="15" t="s">
        <v>30</v>
      </c>
      <c r="S79" s="16"/>
      <c r="T79" s="15" t="s">
        <v>31</v>
      </c>
      <c r="U79" s="8">
        <v>5909.48</v>
      </c>
    </row>
    <row r="80" spans="1:21">
      <c r="A80" s="6">
        <v>46070</v>
      </c>
      <c r="B80" s="7" t="s">
        <v>32</v>
      </c>
      <c r="C80" s="9" t="s">
        <v>51</v>
      </c>
      <c r="D80" s="8">
        <v>94.66</v>
      </c>
      <c r="E80" s="7" t="s">
        <v>34</v>
      </c>
      <c r="F80" s="15" t="s">
        <v>24</v>
      </c>
      <c r="G80" s="15" t="s">
        <v>52</v>
      </c>
      <c r="H80" s="16"/>
      <c r="I80" s="15" t="s">
        <v>26</v>
      </c>
      <c r="J80" s="17">
        <v>1</v>
      </c>
      <c r="K80" s="15" t="s">
        <v>27</v>
      </c>
      <c r="L80" s="21">
        <f t="shared" si="2"/>
        <v>94.66</v>
      </c>
      <c r="M80" s="21">
        <f t="shared" si="3"/>
        <v>0</v>
      </c>
      <c r="N80" s="15" t="s">
        <v>28</v>
      </c>
      <c r="O80" s="15" t="s">
        <v>29</v>
      </c>
      <c r="P80" s="15"/>
      <c r="Q80" s="15"/>
      <c r="R80" s="15" t="s">
        <v>30</v>
      </c>
      <c r="S80" s="16"/>
      <c r="T80" s="15" t="s">
        <v>31</v>
      </c>
      <c r="U80" s="8">
        <v>5991.94</v>
      </c>
    </row>
    <row r="81" spans="1:21">
      <c r="A81" s="6">
        <v>46071</v>
      </c>
      <c r="B81" s="7" t="s">
        <v>46</v>
      </c>
      <c r="C81" s="9" t="s">
        <v>47</v>
      </c>
      <c r="D81" s="8">
        <v>-10.02</v>
      </c>
      <c r="E81" s="7" t="s">
        <v>23</v>
      </c>
      <c r="F81" s="15" t="s">
        <v>48</v>
      </c>
      <c r="G81" s="15" t="s">
        <v>49</v>
      </c>
      <c r="H81" s="16"/>
      <c r="I81" s="15" t="s">
        <v>26</v>
      </c>
      <c r="J81" s="17">
        <v>1</v>
      </c>
      <c r="K81" s="15" t="s">
        <v>27</v>
      </c>
      <c r="L81" s="21">
        <f t="shared" si="2"/>
        <v>0</v>
      </c>
      <c r="M81" s="21">
        <f t="shared" si="3"/>
        <v>10.02</v>
      </c>
      <c r="N81" s="15" t="s">
        <v>28</v>
      </c>
      <c r="O81" s="15" t="s">
        <v>29</v>
      </c>
      <c r="P81" s="15"/>
      <c r="Q81" s="15"/>
      <c r="R81" s="15" t="s">
        <v>30</v>
      </c>
      <c r="S81" s="16"/>
      <c r="T81" s="15" t="s">
        <v>31</v>
      </c>
      <c r="U81" s="8">
        <v>5706.92</v>
      </c>
    </row>
    <row r="82" spans="1:21">
      <c r="A82" s="6">
        <v>46071</v>
      </c>
      <c r="B82" s="7" t="s">
        <v>21</v>
      </c>
      <c r="C82" s="9" t="s">
        <v>115</v>
      </c>
      <c r="D82" s="8">
        <v>-275</v>
      </c>
      <c r="E82" s="7" t="s">
        <v>23</v>
      </c>
      <c r="F82" s="15" t="s">
        <v>24</v>
      </c>
      <c r="G82" s="15" t="s">
        <v>111</v>
      </c>
      <c r="H82" s="16" t="s">
        <v>116</v>
      </c>
      <c r="I82" s="15" t="s">
        <v>26</v>
      </c>
      <c r="J82" s="17">
        <v>1</v>
      </c>
      <c r="K82" s="15" t="s">
        <v>27</v>
      </c>
      <c r="L82" s="21">
        <f t="shared" si="2"/>
        <v>0</v>
      </c>
      <c r="M82" s="21">
        <f t="shared" si="3"/>
        <v>275</v>
      </c>
      <c r="N82" s="15" t="s">
        <v>28</v>
      </c>
      <c r="O82" s="15" t="s">
        <v>29</v>
      </c>
      <c r="P82" s="15"/>
      <c r="Q82" s="15"/>
      <c r="R82" s="15" t="s">
        <v>30</v>
      </c>
      <c r="S82" s="16"/>
      <c r="T82" s="15" t="s">
        <v>31</v>
      </c>
      <c r="U82" s="8">
        <v>5716.94</v>
      </c>
    </row>
    <row r="83" spans="1:21">
      <c r="A83" s="6">
        <v>46072</v>
      </c>
      <c r="B83" s="7" t="s">
        <v>46</v>
      </c>
      <c r="C83" s="9" t="s">
        <v>61</v>
      </c>
      <c r="D83" s="8">
        <v>-9.25</v>
      </c>
      <c r="E83" s="7" t="s">
        <v>23</v>
      </c>
      <c r="F83" s="15" t="s">
        <v>48</v>
      </c>
      <c r="G83" s="15" t="s">
        <v>25</v>
      </c>
      <c r="H83" s="16"/>
      <c r="I83" s="15" t="s">
        <v>26</v>
      </c>
      <c r="J83" s="17">
        <v>1</v>
      </c>
      <c r="K83" s="15" t="s">
        <v>27</v>
      </c>
      <c r="L83" s="21">
        <f t="shared" si="2"/>
        <v>0</v>
      </c>
      <c r="M83" s="21">
        <f t="shared" si="3"/>
        <v>9.25</v>
      </c>
      <c r="N83" s="15" t="s">
        <v>28</v>
      </c>
      <c r="O83" s="15" t="s">
        <v>29</v>
      </c>
      <c r="P83" s="15"/>
      <c r="Q83" s="15"/>
      <c r="R83" s="15" t="s">
        <v>30</v>
      </c>
      <c r="S83" s="16"/>
      <c r="T83" s="15" t="s">
        <v>31</v>
      </c>
      <c r="U83" s="8">
        <v>5697.67</v>
      </c>
    </row>
    <row r="84" spans="1:21">
      <c r="A84" s="6">
        <v>46075</v>
      </c>
      <c r="B84" s="7" t="s">
        <v>32</v>
      </c>
      <c r="C84" s="9" t="s">
        <v>117</v>
      </c>
      <c r="D84" s="8">
        <v>370</v>
      </c>
      <c r="E84" s="7" t="s">
        <v>34</v>
      </c>
      <c r="F84" s="15" t="s">
        <v>24</v>
      </c>
      <c r="G84" s="15" t="s">
        <v>35</v>
      </c>
      <c r="H84" s="16"/>
      <c r="I84" s="15" t="s">
        <v>26</v>
      </c>
      <c r="J84" s="17">
        <v>1</v>
      </c>
      <c r="K84" s="15" t="s">
        <v>27</v>
      </c>
      <c r="L84" s="21">
        <f t="shared" si="2"/>
        <v>370</v>
      </c>
      <c r="M84" s="21">
        <f t="shared" si="3"/>
        <v>0</v>
      </c>
      <c r="N84" s="15" t="s">
        <v>28</v>
      </c>
      <c r="O84" s="15" t="s">
        <v>29</v>
      </c>
      <c r="P84" s="15"/>
      <c r="Q84" s="15"/>
      <c r="R84" s="15" t="s">
        <v>30</v>
      </c>
      <c r="S84" s="16"/>
      <c r="T84" s="15" t="s">
        <v>31</v>
      </c>
      <c r="U84" s="8">
        <v>6067.67</v>
      </c>
    </row>
    <row r="85" spans="1:21">
      <c r="A85" s="6">
        <v>46076</v>
      </c>
      <c r="B85" s="7" t="s">
        <v>32</v>
      </c>
      <c r="C85" s="9" t="s">
        <v>51</v>
      </c>
      <c r="D85" s="8">
        <v>78.150000000000006</v>
      </c>
      <c r="E85" s="7" t="s">
        <v>34</v>
      </c>
      <c r="F85" s="15" t="s">
        <v>24</v>
      </c>
      <c r="G85" s="15" t="s">
        <v>52</v>
      </c>
      <c r="H85" s="16"/>
      <c r="I85" s="15" t="s">
        <v>26</v>
      </c>
      <c r="J85" s="17">
        <v>1</v>
      </c>
      <c r="K85" s="15" t="s">
        <v>27</v>
      </c>
      <c r="L85" s="21">
        <f t="shared" si="2"/>
        <v>78.150000000000006</v>
      </c>
      <c r="M85" s="21">
        <f t="shared" si="3"/>
        <v>0</v>
      </c>
      <c r="N85" s="15" t="s">
        <v>28</v>
      </c>
      <c r="O85" s="15" t="s">
        <v>29</v>
      </c>
      <c r="P85" s="15"/>
      <c r="Q85" s="15"/>
      <c r="R85" s="15" t="s">
        <v>30</v>
      </c>
      <c r="S85" s="16"/>
      <c r="T85" s="15" t="s">
        <v>31</v>
      </c>
      <c r="U85" s="8">
        <v>6145.82</v>
      </c>
    </row>
    <row r="86" spans="1:21">
      <c r="A86" s="6">
        <v>46079</v>
      </c>
      <c r="B86" s="7" t="s">
        <v>57</v>
      </c>
      <c r="C86" s="9" t="s">
        <v>118</v>
      </c>
      <c r="D86" s="8">
        <v>-49.4</v>
      </c>
      <c r="E86" s="7" t="s">
        <v>23</v>
      </c>
      <c r="F86" s="15" t="s">
        <v>48</v>
      </c>
      <c r="G86" s="15" t="s">
        <v>72</v>
      </c>
      <c r="H86" s="16"/>
      <c r="I86" s="15" t="s">
        <v>26</v>
      </c>
      <c r="J86" s="17">
        <v>1</v>
      </c>
      <c r="K86" s="15" t="s">
        <v>27</v>
      </c>
      <c r="L86" s="21">
        <f t="shared" si="2"/>
        <v>0</v>
      </c>
      <c r="M86" s="21">
        <f t="shared" si="3"/>
        <v>49.4</v>
      </c>
      <c r="N86" s="15" t="s">
        <v>28</v>
      </c>
      <c r="O86" s="15" t="s">
        <v>29</v>
      </c>
      <c r="P86" s="15"/>
      <c r="Q86" s="15"/>
      <c r="R86" s="15" t="s">
        <v>30</v>
      </c>
      <c r="S86" s="16"/>
      <c r="T86" s="15" t="s">
        <v>31</v>
      </c>
      <c r="U86" s="8">
        <v>6096.42</v>
      </c>
    </row>
    <row r="87" spans="1:21">
      <c r="A87" s="6">
        <v>46081</v>
      </c>
      <c r="B87" s="7" t="s">
        <v>32</v>
      </c>
      <c r="C87" s="9" t="s">
        <v>119</v>
      </c>
      <c r="D87" s="8">
        <v>2700</v>
      </c>
      <c r="E87" s="7" t="s">
        <v>34</v>
      </c>
      <c r="F87" s="15" t="s">
        <v>24</v>
      </c>
      <c r="G87" s="15" t="s">
        <v>35</v>
      </c>
      <c r="H87" s="16"/>
      <c r="I87" s="15" t="s">
        <v>26</v>
      </c>
      <c r="J87" s="17">
        <v>1</v>
      </c>
      <c r="K87" s="15" t="s">
        <v>27</v>
      </c>
      <c r="L87" s="21">
        <f t="shared" si="2"/>
        <v>2700</v>
      </c>
      <c r="M87" s="21">
        <f t="shared" si="3"/>
        <v>0</v>
      </c>
      <c r="N87" s="15" t="s">
        <v>28</v>
      </c>
      <c r="O87" s="15" t="s">
        <v>29</v>
      </c>
      <c r="P87" s="15"/>
      <c r="Q87" s="15"/>
      <c r="R87" s="15" t="s">
        <v>30</v>
      </c>
      <c r="S87" s="16"/>
      <c r="T87" s="15" t="s">
        <v>31</v>
      </c>
      <c r="U87" s="8">
        <v>8796.42</v>
      </c>
    </row>
    <row r="88" spans="1:21">
      <c r="A88" s="6">
        <v>46083</v>
      </c>
      <c r="B88" s="7" t="s">
        <v>32</v>
      </c>
      <c r="C88" s="9" t="s">
        <v>51</v>
      </c>
      <c r="D88" s="8">
        <v>166.35</v>
      </c>
      <c r="E88" s="7" t="s">
        <v>34</v>
      </c>
      <c r="F88" s="15" t="s">
        <v>24</v>
      </c>
      <c r="G88" s="15" t="s">
        <v>52</v>
      </c>
      <c r="H88" s="16"/>
      <c r="I88" s="15" t="s">
        <v>26</v>
      </c>
      <c r="J88" s="17">
        <v>1</v>
      </c>
      <c r="K88" s="15" t="s">
        <v>27</v>
      </c>
      <c r="L88" s="21">
        <f t="shared" si="2"/>
        <v>166.35</v>
      </c>
      <c r="M88" s="21">
        <f t="shared" si="3"/>
        <v>0</v>
      </c>
      <c r="N88" s="15" t="s">
        <v>28</v>
      </c>
      <c r="O88" s="15" t="s">
        <v>29</v>
      </c>
      <c r="P88" s="15"/>
      <c r="Q88" s="15"/>
      <c r="R88" s="15" t="s">
        <v>30</v>
      </c>
      <c r="S88" s="16"/>
      <c r="T88" s="15" t="s">
        <v>31</v>
      </c>
      <c r="U88" s="8">
        <v>8962.77</v>
      </c>
    </row>
    <row r="89" spans="1:21">
      <c r="A89" s="6">
        <v>46093</v>
      </c>
      <c r="B89" s="7" t="s">
        <v>46</v>
      </c>
      <c r="C89" s="9" t="s">
        <v>61</v>
      </c>
      <c r="D89" s="8">
        <v>-10.25</v>
      </c>
      <c r="E89" s="7" t="s">
        <v>23</v>
      </c>
      <c r="F89" s="15" t="s">
        <v>48</v>
      </c>
      <c r="G89" s="15" t="s">
        <v>25</v>
      </c>
      <c r="H89" s="16"/>
      <c r="I89" s="15" t="s">
        <v>26</v>
      </c>
      <c r="J89" s="17">
        <v>1</v>
      </c>
      <c r="K89" s="15" t="s">
        <v>27</v>
      </c>
      <c r="L89" s="21">
        <f t="shared" si="2"/>
        <v>0</v>
      </c>
      <c r="M89" s="21">
        <f t="shared" si="3"/>
        <v>10.25</v>
      </c>
      <c r="N89" s="15" t="s">
        <v>28</v>
      </c>
      <c r="O89" s="15" t="s">
        <v>29</v>
      </c>
      <c r="P89" s="15"/>
      <c r="Q89" s="15"/>
      <c r="R89" s="15" t="s">
        <v>30</v>
      </c>
      <c r="S89" s="16"/>
      <c r="T89" s="15" t="s">
        <v>31</v>
      </c>
      <c r="U89" s="8">
        <v>8952.52</v>
      </c>
    </row>
    <row r="90" spans="1:21">
      <c r="A90" s="6">
        <v>46094</v>
      </c>
      <c r="B90" s="7" t="s">
        <v>32</v>
      </c>
      <c r="C90" s="9" t="s">
        <v>51</v>
      </c>
      <c r="D90" s="8">
        <v>166.35</v>
      </c>
      <c r="E90" s="7" t="s">
        <v>34</v>
      </c>
      <c r="F90" s="15" t="s">
        <v>24</v>
      </c>
      <c r="G90" s="15" t="s">
        <v>52</v>
      </c>
      <c r="H90" s="16"/>
      <c r="I90" s="15" t="s">
        <v>26</v>
      </c>
      <c r="J90" s="17">
        <v>1</v>
      </c>
      <c r="K90" s="15" t="s">
        <v>27</v>
      </c>
      <c r="L90" s="21">
        <f t="shared" si="2"/>
        <v>166.35</v>
      </c>
      <c r="M90" s="21">
        <f t="shared" si="3"/>
        <v>0</v>
      </c>
      <c r="N90" s="15" t="s">
        <v>28</v>
      </c>
      <c r="O90" s="15" t="s">
        <v>29</v>
      </c>
      <c r="P90" s="15"/>
      <c r="Q90" s="15"/>
      <c r="R90" s="15" t="s">
        <v>30</v>
      </c>
      <c r="S90" s="16"/>
      <c r="T90" s="15" t="s">
        <v>31</v>
      </c>
      <c r="U90" s="8">
        <v>9118.8700000000008</v>
      </c>
    </row>
    <row r="91" spans="1:21" ht="25.5">
      <c r="A91" s="6">
        <v>46097</v>
      </c>
      <c r="B91" s="7" t="s">
        <v>57</v>
      </c>
      <c r="C91" s="9" t="s">
        <v>120</v>
      </c>
      <c r="D91" s="8">
        <v>-109.69</v>
      </c>
      <c r="E91" s="7" t="s">
        <v>23</v>
      </c>
      <c r="F91" s="15" t="s">
        <v>48</v>
      </c>
      <c r="G91" s="15" t="s">
        <v>72</v>
      </c>
      <c r="H91" s="16" t="s">
        <v>121</v>
      </c>
      <c r="I91" s="15" t="s">
        <v>26</v>
      </c>
      <c r="J91" s="17">
        <v>1</v>
      </c>
      <c r="K91" s="15" t="s">
        <v>27</v>
      </c>
      <c r="L91" s="21">
        <f t="shared" si="2"/>
        <v>0</v>
      </c>
      <c r="M91" s="21">
        <f t="shared" si="3"/>
        <v>109.69</v>
      </c>
      <c r="N91" s="15" t="s">
        <v>28</v>
      </c>
      <c r="O91" s="15" t="s">
        <v>29</v>
      </c>
      <c r="P91" s="15"/>
      <c r="Q91" s="15"/>
      <c r="R91" s="15" t="s">
        <v>30</v>
      </c>
      <c r="S91" s="16"/>
      <c r="T91" s="15" t="s">
        <v>31</v>
      </c>
      <c r="U91" s="8">
        <v>8584.7800000000007</v>
      </c>
    </row>
    <row r="92" spans="1:21" ht="25.5">
      <c r="A92" s="6">
        <v>46097</v>
      </c>
      <c r="B92" s="7" t="s">
        <v>57</v>
      </c>
      <c r="C92" s="9" t="s">
        <v>122</v>
      </c>
      <c r="D92" s="8">
        <v>-202.26</v>
      </c>
      <c r="E92" s="7" t="s">
        <v>23</v>
      </c>
      <c r="F92" s="15" t="s">
        <v>48</v>
      </c>
      <c r="G92" s="15" t="s">
        <v>55</v>
      </c>
      <c r="H92" s="16" t="s">
        <v>123</v>
      </c>
      <c r="I92" s="15" t="s">
        <v>26</v>
      </c>
      <c r="J92" s="17">
        <v>1</v>
      </c>
      <c r="K92" s="15" t="s">
        <v>27</v>
      </c>
      <c r="L92" s="21">
        <f t="shared" si="2"/>
        <v>0</v>
      </c>
      <c r="M92" s="21">
        <f t="shared" si="3"/>
        <v>202.26</v>
      </c>
      <c r="N92" s="15" t="s">
        <v>28</v>
      </c>
      <c r="O92" s="15" t="s">
        <v>29</v>
      </c>
      <c r="P92" s="15"/>
      <c r="Q92" s="15"/>
      <c r="R92" s="15" t="s">
        <v>30</v>
      </c>
      <c r="S92" s="16"/>
      <c r="T92" s="15" t="s">
        <v>31</v>
      </c>
      <c r="U92" s="8">
        <v>8694.4699999999993</v>
      </c>
    </row>
    <row r="93" spans="1:21">
      <c r="A93" s="6">
        <v>46097</v>
      </c>
      <c r="B93" s="7" t="s">
        <v>46</v>
      </c>
      <c r="C93" s="9" t="s">
        <v>124</v>
      </c>
      <c r="D93" s="8">
        <v>-13.27</v>
      </c>
      <c r="E93" s="7" t="s">
        <v>23</v>
      </c>
      <c r="F93" s="15" t="s">
        <v>48</v>
      </c>
      <c r="G93" s="15" t="s">
        <v>49</v>
      </c>
      <c r="H93" s="16"/>
      <c r="I93" s="15" t="s">
        <v>26</v>
      </c>
      <c r="J93" s="17">
        <v>1</v>
      </c>
      <c r="K93" s="15" t="s">
        <v>27</v>
      </c>
      <c r="L93" s="21">
        <f t="shared" si="2"/>
        <v>0</v>
      </c>
      <c r="M93" s="21">
        <f t="shared" si="3"/>
        <v>13.27</v>
      </c>
      <c r="N93" s="15" t="s">
        <v>28</v>
      </c>
      <c r="O93" s="15" t="s">
        <v>29</v>
      </c>
      <c r="P93" s="15"/>
      <c r="Q93" s="15"/>
      <c r="R93" s="15" t="s">
        <v>30</v>
      </c>
      <c r="S93" s="16"/>
      <c r="T93" s="15" t="s">
        <v>31</v>
      </c>
      <c r="U93" s="8">
        <v>8896.73</v>
      </c>
    </row>
    <row r="94" spans="1:21">
      <c r="A94" s="6">
        <v>46097</v>
      </c>
      <c r="B94" s="7" t="s">
        <v>46</v>
      </c>
      <c r="C94" s="9" t="s">
        <v>125</v>
      </c>
      <c r="D94" s="8">
        <v>-34.869999999999997</v>
      </c>
      <c r="E94" s="7" t="s">
        <v>23</v>
      </c>
      <c r="F94" s="15" t="s">
        <v>48</v>
      </c>
      <c r="G94" s="15" t="s">
        <v>59</v>
      </c>
      <c r="H94" s="16" t="s">
        <v>126</v>
      </c>
      <c r="I94" s="15" t="s">
        <v>26</v>
      </c>
      <c r="J94" s="17">
        <v>1</v>
      </c>
      <c r="K94" s="15" t="s">
        <v>27</v>
      </c>
      <c r="L94" s="21">
        <f t="shared" si="2"/>
        <v>0</v>
      </c>
      <c r="M94" s="21">
        <f t="shared" si="3"/>
        <v>34.869999999999997</v>
      </c>
      <c r="N94" s="15" t="s">
        <v>28</v>
      </c>
      <c r="O94" s="15" t="s">
        <v>29</v>
      </c>
      <c r="P94" s="15"/>
      <c r="Q94" s="15"/>
      <c r="R94" s="15" t="s">
        <v>30</v>
      </c>
      <c r="S94" s="16"/>
      <c r="T94" s="15" t="s">
        <v>31</v>
      </c>
      <c r="U94" s="8">
        <v>8910</v>
      </c>
    </row>
    <row r="95" spans="1:21">
      <c r="A95" s="6">
        <v>46097</v>
      </c>
      <c r="B95" s="7" t="s">
        <v>46</v>
      </c>
      <c r="C95" s="9" t="s">
        <v>125</v>
      </c>
      <c r="D95" s="8">
        <v>-174</v>
      </c>
      <c r="E95" s="7" t="s">
        <v>23</v>
      </c>
      <c r="F95" s="15" t="s">
        <v>48</v>
      </c>
      <c r="G95" s="15" t="s">
        <v>59</v>
      </c>
      <c r="H95" s="16" t="s">
        <v>127</v>
      </c>
      <c r="I95" s="15" t="s">
        <v>26</v>
      </c>
      <c r="J95" s="17">
        <v>1</v>
      </c>
      <c r="K95" s="15" t="s">
        <v>27</v>
      </c>
      <c r="L95" s="21">
        <f t="shared" si="2"/>
        <v>0</v>
      </c>
      <c r="M95" s="21">
        <f t="shared" si="3"/>
        <v>174</v>
      </c>
      <c r="N95" s="15" t="s">
        <v>28</v>
      </c>
      <c r="O95" s="15" t="s">
        <v>29</v>
      </c>
      <c r="P95" s="15"/>
      <c r="Q95" s="15"/>
      <c r="R95" s="15" t="s">
        <v>30</v>
      </c>
      <c r="S95" s="16"/>
      <c r="T95" s="15" t="s">
        <v>31</v>
      </c>
      <c r="U95" s="8">
        <v>8944.8700000000008</v>
      </c>
    </row>
    <row r="96" spans="1:21" ht="25.5">
      <c r="A96" s="6">
        <v>46101</v>
      </c>
      <c r="B96" s="7" t="s">
        <v>57</v>
      </c>
      <c r="C96" s="9" t="s">
        <v>128</v>
      </c>
      <c r="D96" s="8">
        <v>-25</v>
      </c>
      <c r="E96" s="7" t="s">
        <v>23</v>
      </c>
      <c r="F96" s="15" t="s">
        <v>48</v>
      </c>
      <c r="G96" s="15" t="s">
        <v>55</v>
      </c>
      <c r="H96" s="16"/>
      <c r="I96" s="15" t="s">
        <v>26</v>
      </c>
      <c r="J96" s="17">
        <v>1</v>
      </c>
      <c r="K96" s="15" t="s">
        <v>27</v>
      </c>
      <c r="L96" s="21">
        <f t="shared" si="2"/>
        <v>0</v>
      </c>
      <c r="M96" s="21">
        <f t="shared" si="3"/>
        <v>25</v>
      </c>
      <c r="N96" s="15" t="s">
        <v>28</v>
      </c>
      <c r="O96" s="15" t="s">
        <v>29</v>
      </c>
      <c r="P96" s="15"/>
      <c r="Q96" s="15"/>
      <c r="R96" s="15" t="s">
        <v>30</v>
      </c>
      <c r="S96" s="16"/>
      <c r="T96" s="15" t="s">
        <v>31</v>
      </c>
      <c r="U96" s="8">
        <v>8799.7800000000007</v>
      </c>
    </row>
    <row r="97" spans="1:21">
      <c r="A97" s="6">
        <v>46101</v>
      </c>
      <c r="B97" s="7" t="s">
        <v>32</v>
      </c>
      <c r="C97" s="9" t="s">
        <v>129</v>
      </c>
      <c r="D97" s="8">
        <v>240</v>
      </c>
      <c r="E97" s="7" t="s">
        <v>34</v>
      </c>
      <c r="F97" s="15" t="s">
        <v>24</v>
      </c>
      <c r="G97" s="15" t="s">
        <v>35</v>
      </c>
      <c r="H97" s="16"/>
      <c r="I97" s="15" t="s">
        <v>26</v>
      </c>
      <c r="J97" s="17">
        <v>1</v>
      </c>
      <c r="K97" s="15" t="s">
        <v>27</v>
      </c>
      <c r="L97" s="21">
        <f t="shared" si="2"/>
        <v>240</v>
      </c>
      <c r="M97" s="21">
        <f t="shared" si="3"/>
        <v>0</v>
      </c>
      <c r="N97" s="15" t="s">
        <v>28</v>
      </c>
      <c r="O97" s="15" t="s">
        <v>29</v>
      </c>
      <c r="P97" s="15"/>
      <c r="Q97" s="15"/>
      <c r="R97" s="15" t="s">
        <v>30</v>
      </c>
      <c r="S97" s="16"/>
      <c r="T97" s="15" t="s">
        <v>31</v>
      </c>
      <c r="U97" s="8">
        <v>8824.7800000000007</v>
      </c>
    </row>
    <row r="98" spans="1:21">
      <c r="A98" s="6">
        <v>46104</v>
      </c>
      <c r="B98" s="7" t="s">
        <v>57</v>
      </c>
      <c r="C98" s="9" t="s">
        <v>130</v>
      </c>
      <c r="D98" s="8">
        <v>-3.1</v>
      </c>
      <c r="E98" s="7" t="s">
        <v>23</v>
      </c>
      <c r="F98" s="15" t="s">
        <v>48</v>
      </c>
      <c r="G98" s="15" t="s">
        <v>72</v>
      </c>
      <c r="H98" s="16"/>
      <c r="I98" s="15" t="s">
        <v>26</v>
      </c>
      <c r="J98" s="17">
        <v>1</v>
      </c>
      <c r="K98" s="15" t="s">
        <v>27</v>
      </c>
      <c r="L98" s="21">
        <f t="shared" si="2"/>
        <v>0</v>
      </c>
      <c r="M98" s="21">
        <f t="shared" si="3"/>
        <v>3.1</v>
      </c>
      <c r="N98" s="15" t="s">
        <v>28</v>
      </c>
      <c r="O98" s="15" t="s">
        <v>29</v>
      </c>
      <c r="P98" s="15"/>
      <c r="Q98" s="15"/>
      <c r="R98" s="15" t="s">
        <v>30</v>
      </c>
      <c r="S98" s="16"/>
      <c r="T98" s="15" t="s">
        <v>31</v>
      </c>
      <c r="U98" s="8">
        <v>8753.58</v>
      </c>
    </row>
    <row r="99" spans="1:21">
      <c r="A99" s="6">
        <v>46104</v>
      </c>
      <c r="B99" s="7" t="s">
        <v>57</v>
      </c>
      <c r="C99" s="9" t="s">
        <v>131</v>
      </c>
      <c r="D99" s="8">
        <v>-37.99</v>
      </c>
      <c r="E99" s="7" t="s">
        <v>23</v>
      </c>
      <c r="F99" s="15" t="s">
        <v>48</v>
      </c>
      <c r="G99" s="15" t="s">
        <v>72</v>
      </c>
      <c r="H99" s="16"/>
      <c r="I99" s="15" t="s">
        <v>26</v>
      </c>
      <c r="J99" s="17">
        <v>1</v>
      </c>
      <c r="K99" s="15" t="s">
        <v>27</v>
      </c>
      <c r="L99" s="21">
        <f t="shared" si="2"/>
        <v>0</v>
      </c>
      <c r="M99" s="21">
        <f t="shared" si="3"/>
        <v>37.99</v>
      </c>
      <c r="N99" s="15" t="s">
        <v>28</v>
      </c>
      <c r="O99" s="15" t="s">
        <v>29</v>
      </c>
      <c r="P99" s="15"/>
      <c r="Q99" s="15"/>
      <c r="R99" s="15" t="s">
        <v>30</v>
      </c>
      <c r="S99" s="16"/>
      <c r="T99" s="15" t="s">
        <v>31</v>
      </c>
      <c r="U99" s="8">
        <v>8756.68</v>
      </c>
    </row>
    <row r="100" spans="1:21">
      <c r="A100" s="6">
        <v>46104</v>
      </c>
      <c r="B100" s="7" t="s">
        <v>57</v>
      </c>
      <c r="C100" s="9" t="s">
        <v>132</v>
      </c>
      <c r="D100" s="8">
        <v>-5.1100000000000003</v>
      </c>
      <c r="E100" s="7" t="s">
        <v>23</v>
      </c>
      <c r="F100" s="15" t="s">
        <v>48</v>
      </c>
      <c r="G100" s="15" t="s">
        <v>72</v>
      </c>
      <c r="H100" s="16"/>
      <c r="I100" s="15" t="s">
        <v>26</v>
      </c>
      <c r="J100" s="17">
        <v>1</v>
      </c>
      <c r="K100" s="15" t="s">
        <v>27</v>
      </c>
      <c r="L100" s="21">
        <f t="shared" si="2"/>
        <v>0</v>
      </c>
      <c r="M100" s="21">
        <f t="shared" si="3"/>
        <v>5.1100000000000003</v>
      </c>
      <c r="N100" s="15" t="s">
        <v>28</v>
      </c>
      <c r="O100" s="15" t="s">
        <v>29</v>
      </c>
      <c r="P100" s="15"/>
      <c r="Q100" s="15"/>
      <c r="R100" s="15" t="s">
        <v>30</v>
      </c>
      <c r="S100" s="16"/>
      <c r="T100" s="15" t="s">
        <v>31</v>
      </c>
      <c r="U100" s="8">
        <v>8794.67</v>
      </c>
    </row>
    <row r="101" spans="1:21">
      <c r="A101" s="6">
        <v>46105</v>
      </c>
      <c r="B101" s="7" t="s">
        <v>57</v>
      </c>
      <c r="C101" s="9" t="s">
        <v>133</v>
      </c>
      <c r="D101" s="8">
        <v>-44.5</v>
      </c>
      <c r="E101" s="7" t="s">
        <v>23</v>
      </c>
      <c r="F101" s="15" t="s">
        <v>48</v>
      </c>
      <c r="G101" s="15" t="s">
        <v>75</v>
      </c>
      <c r="H101" s="16" t="s">
        <v>134</v>
      </c>
      <c r="I101" s="15" t="s">
        <v>26</v>
      </c>
      <c r="J101" s="17">
        <v>1</v>
      </c>
      <c r="K101" s="15" t="s">
        <v>27</v>
      </c>
      <c r="L101" s="21">
        <f t="shared" si="2"/>
        <v>0</v>
      </c>
      <c r="M101" s="21">
        <f t="shared" si="3"/>
        <v>44.5</v>
      </c>
      <c r="N101" s="15" t="s">
        <v>28</v>
      </c>
      <c r="O101" s="15" t="s">
        <v>29</v>
      </c>
      <c r="P101" s="15"/>
      <c r="Q101" s="15"/>
      <c r="R101" s="15" t="s">
        <v>30</v>
      </c>
      <c r="S101" s="16"/>
      <c r="T101" s="15" t="s">
        <v>31</v>
      </c>
      <c r="U101" s="8">
        <v>8709.08</v>
      </c>
    </row>
    <row r="102" spans="1:21">
      <c r="A102" s="6">
        <v>46106</v>
      </c>
      <c r="B102" s="7" t="s">
        <v>32</v>
      </c>
      <c r="C102" s="9" t="s">
        <v>135</v>
      </c>
      <c r="D102" s="8">
        <v>170</v>
      </c>
      <c r="E102" s="7" t="s">
        <v>34</v>
      </c>
      <c r="F102" s="15" t="s">
        <v>24</v>
      </c>
      <c r="G102" s="15" t="s">
        <v>35</v>
      </c>
      <c r="H102" s="16"/>
      <c r="I102" s="15" t="s">
        <v>26</v>
      </c>
      <c r="J102" s="17">
        <v>1</v>
      </c>
      <c r="K102" s="15" t="s">
        <v>27</v>
      </c>
      <c r="L102" s="21">
        <f t="shared" si="2"/>
        <v>170</v>
      </c>
      <c r="M102" s="21">
        <f t="shared" si="3"/>
        <v>0</v>
      </c>
      <c r="N102" s="15" t="s">
        <v>28</v>
      </c>
      <c r="O102" s="15" t="s">
        <v>29</v>
      </c>
      <c r="P102" s="15"/>
      <c r="Q102" s="15"/>
      <c r="R102" s="15" t="s">
        <v>30</v>
      </c>
      <c r="S102" s="16"/>
      <c r="T102" s="15" t="s">
        <v>31</v>
      </c>
      <c r="U102" s="8">
        <v>8879.08</v>
      </c>
    </row>
    <row r="103" spans="1:21">
      <c r="A103" s="6">
        <v>46108</v>
      </c>
      <c r="B103" s="7" t="s">
        <v>32</v>
      </c>
      <c r="C103" s="9" t="s">
        <v>136</v>
      </c>
      <c r="D103" s="8">
        <v>1400</v>
      </c>
      <c r="E103" s="7" t="s">
        <v>34</v>
      </c>
      <c r="F103" s="15" t="s">
        <v>24</v>
      </c>
      <c r="G103" s="15" t="s">
        <v>35</v>
      </c>
      <c r="H103" s="16"/>
      <c r="I103" s="15" t="s">
        <v>26</v>
      </c>
      <c r="J103" s="17">
        <v>1</v>
      </c>
      <c r="K103" s="15" t="s">
        <v>27</v>
      </c>
      <c r="L103" s="21">
        <f t="shared" si="2"/>
        <v>1400</v>
      </c>
      <c r="M103" s="21">
        <f t="shared" si="3"/>
        <v>0</v>
      </c>
      <c r="N103" s="15" t="s">
        <v>28</v>
      </c>
      <c r="O103" s="15" t="s">
        <v>29</v>
      </c>
      <c r="P103" s="15"/>
      <c r="Q103" s="15"/>
      <c r="R103" s="15" t="s">
        <v>30</v>
      </c>
      <c r="S103" s="16"/>
      <c r="T103" s="15" t="s">
        <v>31</v>
      </c>
      <c r="U103" s="8">
        <v>10279.08</v>
      </c>
    </row>
    <row r="104" spans="1:21">
      <c r="A104" s="6">
        <v>46110</v>
      </c>
      <c r="B104" s="7" t="s">
        <v>32</v>
      </c>
      <c r="C104" s="9" t="s">
        <v>137</v>
      </c>
      <c r="D104" s="8">
        <v>900</v>
      </c>
      <c r="E104" s="7" t="s">
        <v>34</v>
      </c>
      <c r="F104" s="15" t="s">
        <v>24</v>
      </c>
      <c r="G104" s="15" t="s">
        <v>35</v>
      </c>
      <c r="H104" s="16"/>
      <c r="I104" s="15" t="s">
        <v>26</v>
      </c>
      <c r="J104" s="17">
        <v>1</v>
      </c>
      <c r="K104" s="15" t="s">
        <v>27</v>
      </c>
      <c r="L104" s="21">
        <f t="shared" si="2"/>
        <v>900</v>
      </c>
      <c r="M104" s="21">
        <f t="shared" si="3"/>
        <v>0</v>
      </c>
      <c r="N104" s="15" t="s">
        <v>28</v>
      </c>
      <c r="O104" s="15" t="s">
        <v>29</v>
      </c>
      <c r="P104" s="15"/>
      <c r="Q104" s="15"/>
      <c r="R104" s="15" t="s">
        <v>30</v>
      </c>
      <c r="S104" s="16"/>
      <c r="T104" s="15" t="s">
        <v>31</v>
      </c>
      <c r="U104" s="8">
        <v>11179.08</v>
      </c>
    </row>
    <row r="105" spans="1:21">
      <c r="A105" s="6">
        <v>46111</v>
      </c>
      <c r="B105" s="7" t="s">
        <v>21</v>
      </c>
      <c r="C105" s="9" t="s">
        <v>98</v>
      </c>
      <c r="D105" s="8">
        <v>-2100</v>
      </c>
      <c r="E105" s="7" t="s">
        <v>23</v>
      </c>
      <c r="F105" s="15" t="s">
        <v>24</v>
      </c>
      <c r="G105" s="15" t="s">
        <v>99</v>
      </c>
      <c r="H105" s="16"/>
      <c r="I105" s="15" t="s">
        <v>100</v>
      </c>
      <c r="J105" s="17">
        <v>0</v>
      </c>
      <c r="K105" s="15" t="s">
        <v>44</v>
      </c>
      <c r="L105" s="21">
        <f t="shared" si="2"/>
        <v>0</v>
      </c>
      <c r="M105" s="21">
        <f t="shared" si="3"/>
        <v>0</v>
      </c>
      <c r="N105" s="15" t="s">
        <v>28</v>
      </c>
      <c r="O105" s="15" t="s">
        <v>29</v>
      </c>
      <c r="P105" s="15"/>
      <c r="Q105" s="15"/>
      <c r="R105" s="15" t="s">
        <v>30</v>
      </c>
      <c r="S105" s="16"/>
      <c r="T105" s="15" t="s">
        <v>31</v>
      </c>
      <c r="U105" s="8">
        <v>8189.33</v>
      </c>
    </row>
    <row r="106" spans="1:21">
      <c r="A106" s="6">
        <v>46111</v>
      </c>
      <c r="B106" s="7" t="s">
        <v>32</v>
      </c>
      <c r="C106" s="9" t="s">
        <v>138</v>
      </c>
      <c r="D106" s="8">
        <v>10.25</v>
      </c>
      <c r="E106" s="7" t="s">
        <v>34</v>
      </c>
      <c r="F106" s="15" t="s">
        <v>24</v>
      </c>
      <c r="G106" s="15" t="s">
        <v>35</v>
      </c>
      <c r="H106" s="16"/>
      <c r="I106" s="15" t="s">
        <v>26</v>
      </c>
      <c r="J106" s="17">
        <v>1</v>
      </c>
      <c r="K106" s="15" t="s">
        <v>27</v>
      </c>
      <c r="L106" s="21">
        <f t="shared" si="2"/>
        <v>10.25</v>
      </c>
      <c r="M106" s="21">
        <f t="shared" si="3"/>
        <v>0</v>
      </c>
      <c r="N106" s="15" t="s">
        <v>28</v>
      </c>
      <c r="O106" s="15" t="s">
        <v>29</v>
      </c>
      <c r="P106" s="15"/>
      <c r="Q106" s="15"/>
      <c r="R106" s="15" t="s">
        <v>30</v>
      </c>
      <c r="S106" s="16"/>
      <c r="T106" s="15" t="s">
        <v>31</v>
      </c>
      <c r="U106" s="8">
        <v>10289.33</v>
      </c>
    </row>
    <row r="107" spans="1:21">
      <c r="A107" s="6">
        <v>46111</v>
      </c>
      <c r="B107" s="7" t="s">
        <v>21</v>
      </c>
      <c r="C107" s="9" t="s">
        <v>139</v>
      </c>
      <c r="D107" s="8">
        <v>-900</v>
      </c>
      <c r="E107" s="7" t="s">
        <v>23</v>
      </c>
      <c r="F107" s="15" t="s">
        <v>24</v>
      </c>
      <c r="G107" s="15" t="s">
        <v>37</v>
      </c>
      <c r="H107" s="16"/>
      <c r="I107" s="15" t="s">
        <v>26</v>
      </c>
      <c r="J107" s="17">
        <v>1</v>
      </c>
      <c r="K107" s="15" t="s">
        <v>162</v>
      </c>
      <c r="L107" s="21">
        <f t="shared" si="2"/>
        <v>0</v>
      </c>
      <c r="M107" s="21">
        <f t="shared" si="3"/>
        <v>900</v>
      </c>
      <c r="N107" s="15" t="s">
        <v>28</v>
      </c>
      <c r="O107" s="15" t="s">
        <v>29</v>
      </c>
      <c r="P107" s="15"/>
      <c r="Q107" s="15"/>
      <c r="R107" s="15" t="s">
        <v>30</v>
      </c>
      <c r="S107" s="16"/>
      <c r="T107" s="15" t="s">
        <v>31</v>
      </c>
      <c r="U107" s="8">
        <v>10279.08</v>
      </c>
    </row>
    <row r="108" spans="1:21">
      <c r="A108" s="6">
        <v>46112</v>
      </c>
      <c r="B108" s="7" t="s">
        <v>46</v>
      </c>
      <c r="C108" s="9" t="s">
        <v>61</v>
      </c>
      <c r="D108" s="8">
        <v>-10.25</v>
      </c>
      <c r="E108" s="7" t="s">
        <v>23</v>
      </c>
      <c r="F108" s="15" t="s">
        <v>48</v>
      </c>
      <c r="G108" s="15" t="s">
        <v>25</v>
      </c>
      <c r="H108" s="16"/>
      <c r="I108" s="15" t="s">
        <v>26</v>
      </c>
      <c r="J108" s="17">
        <v>1</v>
      </c>
      <c r="K108" s="15" t="s">
        <v>27</v>
      </c>
      <c r="L108" s="21">
        <f t="shared" si="2"/>
        <v>0</v>
      </c>
      <c r="M108" s="21">
        <f t="shared" si="3"/>
        <v>10.25</v>
      </c>
      <c r="N108" s="15" t="s">
        <v>28</v>
      </c>
      <c r="O108" s="15" t="s">
        <v>29</v>
      </c>
      <c r="P108" s="15"/>
      <c r="Q108" s="15"/>
      <c r="R108" s="15" t="s">
        <v>30</v>
      </c>
      <c r="S108" s="16"/>
      <c r="T108" s="15" t="s">
        <v>31</v>
      </c>
      <c r="U108" s="8">
        <v>7979.08</v>
      </c>
    </row>
    <row r="109" spans="1:21">
      <c r="A109" s="6">
        <v>46112</v>
      </c>
      <c r="B109" s="7" t="s">
        <v>21</v>
      </c>
      <c r="C109" s="9" t="s">
        <v>140</v>
      </c>
      <c r="D109" s="8">
        <v>-100</v>
      </c>
      <c r="E109" s="7" t="s">
        <v>23</v>
      </c>
      <c r="F109" s="15" t="s">
        <v>24</v>
      </c>
      <c r="G109" s="15" t="s">
        <v>37</v>
      </c>
      <c r="H109" s="16"/>
      <c r="I109" s="15" t="s">
        <v>26</v>
      </c>
      <c r="J109" s="17">
        <v>1</v>
      </c>
      <c r="K109" s="15" t="s">
        <v>162</v>
      </c>
      <c r="L109" s="21">
        <f t="shared" si="2"/>
        <v>0</v>
      </c>
      <c r="M109" s="21">
        <f t="shared" si="3"/>
        <v>100</v>
      </c>
      <c r="N109" s="15" t="s">
        <v>28</v>
      </c>
      <c r="O109" s="15" t="s">
        <v>29</v>
      </c>
      <c r="P109" s="15"/>
      <c r="Q109" s="15"/>
      <c r="R109" s="15" t="s">
        <v>30</v>
      </c>
      <c r="S109" s="16"/>
      <c r="T109" s="15" t="s">
        <v>31</v>
      </c>
      <c r="U109" s="8">
        <v>7989.33</v>
      </c>
    </row>
    <row r="110" spans="1:21">
      <c r="A110" s="6">
        <v>46112</v>
      </c>
      <c r="B110" s="7" t="s">
        <v>21</v>
      </c>
      <c r="C110" s="9" t="s">
        <v>141</v>
      </c>
      <c r="D110" s="8">
        <v>-100</v>
      </c>
      <c r="E110" s="7" t="s">
        <v>23</v>
      </c>
      <c r="F110" s="15" t="s">
        <v>24</v>
      </c>
      <c r="G110" s="15" t="s">
        <v>37</v>
      </c>
      <c r="H110" s="16"/>
      <c r="I110" s="15" t="s">
        <v>26</v>
      </c>
      <c r="J110" s="17">
        <v>1</v>
      </c>
      <c r="K110" s="15" t="s">
        <v>162</v>
      </c>
      <c r="L110" s="21">
        <f t="shared" si="2"/>
        <v>0</v>
      </c>
      <c r="M110" s="21">
        <f t="shared" si="3"/>
        <v>100</v>
      </c>
      <c r="N110" s="15" t="s">
        <v>28</v>
      </c>
      <c r="O110" s="15" t="s">
        <v>29</v>
      </c>
      <c r="P110" s="15"/>
      <c r="Q110" s="15"/>
      <c r="R110" s="15" t="s">
        <v>30</v>
      </c>
      <c r="S110" s="16"/>
      <c r="T110" s="15" t="s">
        <v>31</v>
      </c>
      <c r="U110" s="8">
        <v>8089.33</v>
      </c>
    </row>
    <row r="111" spans="1:21">
      <c r="A111" s="6">
        <v>46113</v>
      </c>
      <c r="B111" s="7" t="s">
        <v>21</v>
      </c>
      <c r="C111" s="9" t="s">
        <v>140</v>
      </c>
      <c r="D111" s="8">
        <v>-350</v>
      </c>
      <c r="E111" s="7" t="s">
        <v>23</v>
      </c>
      <c r="F111" s="15" t="s">
        <v>24</v>
      </c>
      <c r="G111" s="15" t="s">
        <v>37</v>
      </c>
      <c r="H111" s="16"/>
      <c r="I111" s="15" t="s">
        <v>26</v>
      </c>
      <c r="J111" s="17">
        <v>1</v>
      </c>
      <c r="K111" s="15" t="s">
        <v>162</v>
      </c>
      <c r="L111" s="21">
        <f t="shared" si="2"/>
        <v>0</v>
      </c>
      <c r="M111" s="21">
        <f t="shared" si="3"/>
        <v>350</v>
      </c>
      <c r="N111" s="15" t="s">
        <v>28</v>
      </c>
      <c r="O111" s="15" t="s">
        <v>29</v>
      </c>
      <c r="P111" s="15"/>
      <c r="Q111" s="15"/>
      <c r="R111" s="15" t="s">
        <v>30</v>
      </c>
      <c r="S111" s="16"/>
      <c r="T111" s="15" t="s">
        <v>31</v>
      </c>
      <c r="U111" s="8">
        <v>7629.08</v>
      </c>
    </row>
    <row r="112" spans="1:21">
      <c r="A112" s="6">
        <v>46116</v>
      </c>
      <c r="B112" s="7" t="s">
        <v>32</v>
      </c>
      <c r="C112" s="9" t="s">
        <v>142</v>
      </c>
      <c r="D112" s="8">
        <v>130</v>
      </c>
      <c r="E112" s="7" t="s">
        <v>34</v>
      </c>
      <c r="F112" s="15" t="s">
        <v>24</v>
      </c>
      <c r="G112" s="15" t="s">
        <v>35</v>
      </c>
      <c r="H112" s="16"/>
      <c r="I112" s="15" t="s">
        <v>26</v>
      </c>
      <c r="J112" s="17">
        <v>1</v>
      </c>
      <c r="K112" s="15" t="s">
        <v>27</v>
      </c>
      <c r="L112" s="21">
        <f t="shared" si="2"/>
        <v>130</v>
      </c>
      <c r="M112" s="21">
        <f t="shared" si="3"/>
        <v>0</v>
      </c>
      <c r="N112" s="15" t="s">
        <v>28</v>
      </c>
      <c r="O112" s="15" t="s">
        <v>29</v>
      </c>
      <c r="P112" s="15"/>
      <c r="Q112" s="15"/>
      <c r="R112" s="15" t="s">
        <v>30</v>
      </c>
      <c r="S112" s="16"/>
      <c r="T112" s="15" t="s">
        <v>31</v>
      </c>
      <c r="U112" s="8">
        <v>7759.08</v>
      </c>
    </row>
    <row r="113" spans="1:21">
      <c r="A113" s="6">
        <v>46119</v>
      </c>
      <c r="B113" s="7" t="s">
        <v>46</v>
      </c>
      <c r="C113" s="9" t="s">
        <v>143</v>
      </c>
      <c r="D113" s="8">
        <v>-21.44</v>
      </c>
      <c r="E113" s="7" t="s">
        <v>23</v>
      </c>
      <c r="F113" s="15" t="s">
        <v>48</v>
      </c>
      <c r="G113" s="15" t="s">
        <v>144</v>
      </c>
      <c r="H113" s="16"/>
      <c r="I113" s="15" t="s">
        <v>26</v>
      </c>
      <c r="J113" s="17">
        <v>1</v>
      </c>
      <c r="K113" s="15" t="s">
        <v>27</v>
      </c>
      <c r="L113" s="21">
        <f t="shared" si="2"/>
        <v>0</v>
      </c>
      <c r="M113" s="21">
        <f t="shared" si="3"/>
        <v>21.44</v>
      </c>
      <c r="N113" s="15" t="s">
        <v>28</v>
      </c>
      <c r="O113" s="15" t="s">
        <v>29</v>
      </c>
      <c r="P113" s="15"/>
      <c r="Q113" s="15"/>
      <c r="R113" s="15" t="s">
        <v>145</v>
      </c>
      <c r="S113" s="16"/>
      <c r="T113" s="15" t="s">
        <v>31</v>
      </c>
      <c r="U113" s="8">
        <v>7826.56</v>
      </c>
    </row>
    <row r="114" spans="1:21">
      <c r="A114" s="6">
        <v>46119</v>
      </c>
      <c r="B114" s="7" t="s">
        <v>32</v>
      </c>
      <c r="C114" s="9" t="s">
        <v>51</v>
      </c>
      <c r="D114" s="8">
        <v>88.92</v>
      </c>
      <c r="E114" s="7" t="s">
        <v>34</v>
      </c>
      <c r="F114" s="15" t="s">
        <v>24</v>
      </c>
      <c r="G114" s="15" t="s">
        <v>52</v>
      </c>
      <c r="H114" s="16"/>
      <c r="I114" s="15" t="s">
        <v>26</v>
      </c>
      <c r="J114" s="17">
        <v>1</v>
      </c>
      <c r="K114" s="15" t="s">
        <v>27</v>
      </c>
      <c r="L114" s="21">
        <f t="shared" si="2"/>
        <v>88.92</v>
      </c>
      <c r="M114" s="21">
        <f t="shared" si="3"/>
        <v>0</v>
      </c>
      <c r="N114" s="15" t="s">
        <v>28</v>
      </c>
      <c r="O114" s="15" t="s">
        <v>29</v>
      </c>
      <c r="P114" s="15"/>
      <c r="Q114" s="15"/>
      <c r="R114" s="15" t="s">
        <v>145</v>
      </c>
      <c r="S114" s="16"/>
      <c r="T114" s="15" t="s">
        <v>31</v>
      </c>
      <c r="U114" s="8">
        <v>7848</v>
      </c>
    </row>
    <row r="115" spans="1:21">
      <c r="A115" s="6">
        <v>46121</v>
      </c>
      <c r="B115" s="7" t="s">
        <v>57</v>
      </c>
      <c r="C115" s="9" t="s">
        <v>146</v>
      </c>
      <c r="D115" s="8">
        <v>-54.58</v>
      </c>
      <c r="E115" s="7" t="s">
        <v>23</v>
      </c>
      <c r="F115" s="15" t="s">
        <v>48</v>
      </c>
      <c r="G115" s="15" t="s">
        <v>72</v>
      </c>
      <c r="H115" s="16"/>
      <c r="I115" s="15" t="s">
        <v>26</v>
      </c>
      <c r="J115" s="17">
        <v>1</v>
      </c>
      <c r="K115" s="15" t="s">
        <v>27</v>
      </c>
      <c r="L115" s="21">
        <f t="shared" si="2"/>
        <v>0</v>
      </c>
      <c r="M115" s="21">
        <f t="shared" si="3"/>
        <v>54.58</v>
      </c>
      <c r="N115" s="15" t="s">
        <v>28</v>
      </c>
      <c r="O115" s="15" t="s">
        <v>29</v>
      </c>
      <c r="P115" s="15"/>
      <c r="Q115" s="15"/>
      <c r="R115" s="15" t="s">
        <v>145</v>
      </c>
      <c r="S115" s="16"/>
      <c r="T115" s="15" t="s">
        <v>31</v>
      </c>
      <c r="U115" s="8">
        <v>7877.43</v>
      </c>
    </row>
    <row r="116" spans="1:21">
      <c r="A116" s="6">
        <v>46121</v>
      </c>
      <c r="B116" s="7" t="s">
        <v>32</v>
      </c>
      <c r="C116" s="9" t="s">
        <v>51</v>
      </c>
      <c r="D116" s="8">
        <v>105.45</v>
      </c>
      <c r="E116" s="7" t="s">
        <v>34</v>
      </c>
      <c r="F116" s="15" t="s">
        <v>24</v>
      </c>
      <c r="G116" s="15" t="s">
        <v>52</v>
      </c>
      <c r="H116" s="16"/>
      <c r="I116" s="15" t="s">
        <v>26</v>
      </c>
      <c r="J116" s="17">
        <v>1</v>
      </c>
      <c r="K116" s="15" t="s">
        <v>27</v>
      </c>
      <c r="L116" s="21">
        <f t="shared" si="2"/>
        <v>105.45</v>
      </c>
      <c r="M116" s="21">
        <f t="shared" si="3"/>
        <v>0</v>
      </c>
      <c r="N116" s="15" t="s">
        <v>28</v>
      </c>
      <c r="O116" s="15" t="s">
        <v>29</v>
      </c>
      <c r="P116" s="15"/>
      <c r="Q116" s="15"/>
      <c r="R116" s="15" t="s">
        <v>145</v>
      </c>
      <c r="S116" s="16"/>
      <c r="T116" s="15" t="s">
        <v>31</v>
      </c>
      <c r="U116" s="8">
        <v>7932.01</v>
      </c>
    </row>
    <row r="117" spans="1:21">
      <c r="A117" s="6">
        <v>46126</v>
      </c>
      <c r="B117" s="7" t="s">
        <v>46</v>
      </c>
      <c r="C117" s="9" t="s">
        <v>147</v>
      </c>
      <c r="D117" s="8">
        <v>-27.98</v>
      </c>
      <c r="E117" s="7" t="s">
        <v>23</v>
      </c>
      <c r="F117" s="15" t="s">
        <v>48</v>
      </c>
      <c r="G117" s="15" t="s">
        <v>43</v>
      </c>
      <c r="H117" s="16"/>
      <c r="I117" s="15" t="s">
        <v>148</v>
      </c>
      <c r="J117" s="17">
        <v>1</v>
      </c>
      <c r="K117" s="15" t="s">
        <v>27</v>
      </c>
      <c r="L117" s="21">
        <f t="shared" si="2"/>
        <v>0</v>
      </c>
      <c r="M117" s="21">
        <f t="shared" si="3"/>
        <v>0</v>
      </c>
      <c r="N117" s="15" t="s">
        <v>28</v>
      </c>
      <c r="O117" s="15" t="s">
        <v>29</v>
      </c>
      <c r="P117" s="15"/>
      <c r="Q117" s="15"/>
      <c r="R117" s="15" t="s">
        <v>145</v>
      </c>
      <c r="S117" t="s">
        <v>149</v>
      </c>
      <c r="T117" s="15" t="s">
        <v>31</v>
      </c>
      <c r="U117" s="8">
        <v>7849.45</v>
      </c>
    </row>
    <row r="118" spans="1:21">
      <c r="A118" s="6">
        <v>46127</v>
      </c>
      <c r="B118" s="7" t="s">
        <v>46</v>
      </c>
      <c r="C118" s="9" t="s">
        <v>150</v>
      </c>
      <c r="D118" s="8">
        <v>-50.46</v>
      </c>
      <c r="E118" s="7" t="s">
        <v>23</v>
      </c>
      <c r="F118" s="15" t="s">
        <v>48</v>
      </c>
      <c r="G118" s="15" t="s">
        <v>144</v>
      </c>
      <c r="H118" s="16"/>
      <c r="I118" s="15" t="s">
        <v>148</v>
      </c>
      <c r="J118" s="17">
        <v>1</v>
      </c>
      <c r="K118" s="15" t="s">
        <v>27</v>
      </c>
      <c r="L118" s="21">
        <f t="shared" si="2"/>
        <v>0</v>
      </c>
      <c r="M118" s="21">
        <f t="shared" si="3"/>
        <v>0</v>
      </c>
      <c r="N118" s="15" t="s">
        <v>28</v>
      </c>
      <c r="O118" s="15" t="s">
        <v>29</v>
      </c>
      <c r="P118" s="15"/>
      <c r="Q118" s="15"/>
      <c r="R118" s="15" t="s">
        <v>145</v>
      </c>
      <c r="S118" s="16"/>
      <c r="T118" s="15" t="s">
        <v>31</v>
      </c>
      <c r="U118" s="8">
        <v>6997.29</v>
      </c>
    </row>
    <row r="119" spans="1:21">
      <c r="A119" s="6">
        <v>46127</v>
      </c>
      <c r="B119" s="7" t="s">
        <v>21</v>
      </c>
      <c r="C119" s="9" t="s">
        <v>151</v>
      </c>
      <c r="D119" s="8">
        <v>-900</v>
      </c>
      <c r="E119" s="7" t="s">
        <v>23</v>
      </c>
      <c r="F119" s="15" t="s">
        <v>24</v>
      </c>
      <c r="G119" s="15" t="s">
        <v>37</v>
      </c>
      <c r="H119" s="16"/>
      <c r="I119" s="15" t="s">
        <v>148</v>
      </c>
      <c r="J119" s="17">
        <v>1</v>
      </c>
      <c r="K119" s="15" t="s">
        <v>162</v>
      </c>
      <c r="L119" s="21">
        <f t="shared" si="2"/>
        <v>0</v>
      </c>
      <c r="M119" s="21">
        <f t="shared" si="3"/>
        <v>0</v>
      </c>
      <c r="N119" s="15" t="s">
        <v>28</v>
      </c>
      <c r="O119" s="15" t="s">
        <v>29</v>
      </c>
      <c r="P119" s="15"/>
      <c r="Q119" s="15"/>
      <c r="R119" s="15" t="s">
        <v>145</v>
      </c>
      <c r="S119" s="16"/>
      <c r="T119" s="15" t="s">
        <v>31</v>
      </c>
      <c r="U119" s="8">
        <v>7047.75</v>
      </c>
    </row>
    <row r="120" spans="1:21">
      <c r="A120" s="6">
        <v>46127</v>
      </c>
      <c r="B120" s="7" t="s">
        <v>32</v>
      </c>
      <c r="C120" s="9" t="s">
        <v>51</v>
      </c>
      <c r="D120" s="8">
        <v>98.3</v>
      </c>
      <c r="E120" s="7" t="s">
        <v>34</v>
      </c>
      <c r="F120" s="15" t="s">
        <v>24</v>
      </c>
      <c r="G120" s="15" t="s">
        <v>52</v>
      </c>
      <c r="H120" s="16"/>
      <c r="I120" s="15" t="s">
        <v>26</v>
      </c>
      <c r="J120" s="17">
        <v>1</v>
      </c>
      <c r="K120" s="15" t="s">
        <v>27</v>
      </c>
      <c r="L120" s="21">
        <f t="shared" si="2"/>
        <v>98.3</v>
      </c>
      <c r="M120" s="21">
        <f t="shared" si="3"/>
        <v>0</v>
      </c>
      <c r="N120" s="15" t="s">
        <v>28</v>
      </c>
      <c r="O120" s="15" t="s">
        <v>29</v>
      </c>
      <c r="P120" s="15"/>
      <c r="Q120" s="15"/>
      <c r="R120" s="15" t="s">
        <v>145</v>
      </c>
      <c r="S120" s="16"/>
      <c r="T120" s="15" t="s">
        <v>31</v>
      </c>
      <c r="U120" s="8">
        <v>7947.75</v>
      </c>
    </row>
    <row r="121" spans="1:21">
      <c r="A121" s="6">
        <v>46129</v>
      </c>
      <c r="B121" s="7" t="s">
        <v>32</v>
      </c>
      <c r="C121" s="9" t="s">
        <v>152</v>
      </c>
      <c r="D121" s="8">
        <v>50</v>
      </c>
      <c r="E121" s="7" t="s">
        <v>34</v>
      </c>
      <c r="F121" s="15" t="s">
        <v>24</v>
      </c>
      <c r="G121" s="15" t="s">
        <v>35</v>
      </c>
      <c r="H121" s="16"/>
      <c r="I121" s="15" t="s">
        <v>26</v>
      </c>
      <c r="J121" s="17">
        <v>1</v>
      </c>
      <c r="K121" s="15" t="s">
        <v>27</v>
      </c>
      <c r="L121" s="21">
        <f t="shared" si="2"/>
        <v>50</v>
      </c>
      <c r="M121" s="21">
        <f t="shared" si="3"/>
        <v>0</v>
      </c>
      <c r="N121" s="15" t="s">
        <v>28</v>
      </c>
      <c r="O121" s="15" t="s">
        <v>29</v>
      </c>
      <c r="P121" s="15"/>
      <c r="Q121" s="15"/>
      <c r="R121" s="15" t="s">
        <v>145</v>
      </c>
      <c r="S121" s="16"/>
      <c r="T121" s="15" t="s">
        <v>31</v>
      </c>
      <c r="U121" s="8">
        <v>7047.29</v>
      </c>
    </row>
    <row r="122" spans="1:21" ht="25.5">
      <c r="A122" s="6">
        <v>46132</v>
      </c>
      <c r="B122" s="7" t="s">
        <v>57</v>
      </c>
      <c r="C122" s="9" t="s">
        <v>153</v>
      </c>
      <c r="D122" s="8">
        <v>-32.200000000000003</v>
      </c>
      <c r="E122" s="7" t="s">
        <v>23</v>
      </c>
      <c r="F122" s="15" t="s">
        <v>48</v>
      </c>
      <c r="G122" s="15" t="s">
        <v>72</v>
      </c>
      <c r="H122" s="16"/>
      <c r="I122" s="15" t="s">
        <v>26</v>
      </c>
      <c r="J122" s="17">
        <v>1</v>
      </c>
      <c r="K122" s="15" t="s">
        <v>27</v>
      </c>
      <c r="L122" s="21">
        <f t="shared" si="2"/>
        <v>0</v>
      </c>
      <c r="M122" s="21">
        <f t="shared" si="3"/>
        <v>32.200000000000003</v>
      </c>
      <c r="N122" s="15" t="s">
        <v>28</v>
      </c>
      <c r="O122" s="15" t="s">
        <v>29</v>
      </c>
      <c r="P122" s="15"/>
      <c r="Q122" s="15"/>
      <c r="R122" s="15" t="s">
        <v>145</v>
      </c>
      <c r="S122" s="16"/>
      <c r="T122" s="15" t="s">
        <v>154</v>
      </c>
      <c r="U122" s="8">
        <v>6918.56</v>
      </c>
    </row>
    <row r="123" spans="1:21" ht="25.5">
      <c r="A123" s="6">
        <v>46132</v>
      </c>
      <c r="B123" s="7" t="s">
        <v>57</v>
      </c>
      <c r="C123" s="9" t="s">
        <v>155</v>
      </c>
      <c r="D123" s="8">
        <v>-7</v>
      </c>
      <c r="E123" s="7" t="s">
        <v>23</v>
      </c>
      <c r="F123" s="15" t="s">
        <v>48</v>
      </c>
      <c r="G123" s="15" t="s">
        <v>55</v>
      </c>
      <c r="H123" s="16"/>
      <c r="I123" s="15" t="s">
        <v>26</v>
      </c>
      <c r="J123" s="17">
        <v>1</v>
      </c>
      <c r="K123" s="15" t="s">
        <v>27</v>
      </c>
      <c r="L123" s="21">
        <f t="shared" si="2"/>
        <v>0</v>
      </c>
      <c r="M123" s="21">
        <f t="shared" si="3"/>
        <v>7</v>
      </c>
      <c r="N123" s="15" t="s">
        <v>28</v>
      </c>
      <c r="O123" s="15" t="s">
        <v>29</v>
      </c>
      <c r="P123" s="15"/>
      <c r="Q123" s="15"/>
      <c r="R123" s="15" t="s">
        <v>145</v>
      </c>
      <c r="S123" s="16"/>
      <c r="T123" s="15" t="s">
        <v>154</v>
      </c>
      <c r="U123" s="8">
        <v>6950.76</v>
      </c>
    </row>
    <row r="124" spans="1:21">
      <c r="A124" s="6">
        <v>46132</v>
      </c>
      <c r="B124" s="7" t="s">
        <v>46</v>
      </c>
      <c r="C124" s="9" t="s">
        <v>156</v>
      </c>
      <c r="D124" s="8">
        <v>-89.53</v>
      </c>
      <c r="E124" s="7" t="s">
        <v>23</v>
      </c>
      <c r="F124" s="15" t="s">
        <v>48</v>
      </c>
      <c r="G124" s="15" t="s">
        <v>157</v>
      </c>
      <c r="H124" s="16"/>
      <c r="I124" s="15" t="s">
        <v>26</v>
      </c>
      <c r="J124" s="17">
        <v>1</v>
      </c>
      <c r="K124" s="15" t="s">
        <v>27</v>
      </c>
      <c r="L124" s="21">
        <f t="shared" si="2"/>
        <v>0</v>
      </c>
      <c r="M124" s="21">
        <f t="shared" si="3"/>
        <v>89.53</v>
      </c>
      <c r="N124" s="15" t="s">
        <v>28</v>
      </c>
      <c r="O124" s="15" t="s">
        <v>29</v>
      </c>
      <c r="P124" s="15"/>
      <c r="Q124" s="15"/>
      <c r="R124" s="15" t="s">
        <v>145</v>
      </c>
      <c r="S124" s="16"/>
      <c r="T124" s="15" t="s">
        <v>154</v>
      </c>
      <c r="U124" s="8">
        <v>6957.76</v>
      </c>
    </row>
    <row r="125" spans="1:21">
      <c r="A125" s="6">
        <v>46133</v>
      </c>
      <c r="B125" s="7" t="s">
        <v>57</v>
      </c>
      <c r="C125" s="9" t="s">
        <v>101</v>
      </c>
      <c r="D125" s="8">
        <v>-144</v>
      </c>
      <c r="E125" s="7" t="s">
        <v>23</v>
      </c>
      <c r="F125" s="15" t="s">
        <v>48</v>
      </c>
      <c r="G125" s="15" t="s">
        <v>72</v>
      </c>
      <c r="H125" s="16"/>
      <c r="I125" s="15" t="s">
        <v>26</v>
      </c>
      <c r="J125" s="17">
        <v>1</v>
      </c>
      <c r="K125" s="15" t="s">
        <v>27</v>
      </c>
      <c r="L125" s="21">
        <f t="shared" si="2"/>
        <v>0</v>
      </c>
      <c r="M125" s="21">
        <f t="shared" si="3"/>
        <v>144</v>
      </c>
      <c r="N125" s="15" t="s">
        <v>28</v>
      </c>
      <c r="O125" s="15" t="s">
        <v>29</v>
      </c>
      <c r="P125" s="15"/>
      <c r="Q125" s="15"/>
      <c r="R125" s="15" t="s">
        <v>145</v>
      </c>
      <c r="S125" s="16"/>
      <c r="T125" s="15" t="s">
        <v>154</v>
      </c>
      <c r="U125" s="8">
        <v>6763.61</v>
      </c>
    </row>
    <row r="126" spans="1:21">
      <c r="A126" s="6">
        <v>46133</v>
      </c>
      <c r="B126" s="7" t="s">
        <v>46</v>
      </c>
      <c r="C126" s="9" t="s">
        <v>61</v>
      </c>
      <c r="D126" s="8">
        <v>-10.95</v>
      </c>
      <c r="E126" s="7" t="s">
        <v>23</v>
      </c>
      <c r="F126" s="15" t="s">
        <v>48</v>
      </c>
      <c r="G126" s="15" t="s">
        <v>25</v>
      </c>
      <c r="H126" s="16"/>
      <c r="I126" s="15" t="s">
        <v>26</v>
      </c>
      <c r="J126" s="17">
        <v>1</v>
      </c>
      <c r="K126" s="15" t="s">
        <v>27</v>
      </c>
      <c r="L126" s="21">
        <f t="shared" si="2"/>
        <v>0</v>
      </c>
      <c r="M126" s="21">
        <f t="shared" si="3"/>
        <v>10.95</v>
      </c>
      <c r="N126" s="15" t="s">
        <v>28</v>
      </c>
      <c r="O126" s="15" t="s">
        <v>29</v>
      </c>
      <c r="P126" s="15"/>
      <c r="Q126" s="15"/>
      <c r="R126" s="15" t="s">
        <v>145</v>
      </c>
      <c r="S126" s="16"/>
      <c r="T126" s="15" t="s">
        <v>154</v>
      </c>
      <c r="U126" s="8">
        <v>6907.61</v>
      </c>
    </row>
    <row r="127" spans="1:21">
      <c r="A127" s="6">
        <v>46134</v>
      </c>
      <c r="B127" s="7" t="s">
        <v>57</v>
      </c>
      <c r="C127" s="9" t="s">
        <v>158</v>
      </c>
      <c r="D127" s="8">
        <v>-12.84</v>
      </c>
      <c r="E127" s="7" t="s">
        <v>23</v>
      </c>
      <c r="F127" s="15" t="s">
        <v>48</v>
      </c>
      <c r="G127" s="15" t="s">
        <v>72</v>
      </c>
      <c r="H127" s="16"/>
      <c r="I127" s="15" t="s">
        <v>26</v>
      </c>
      <c r="J127" s="17">
        <v>1</v>
      </c>
      <c r="K127" s="15" t="s">
        <v>27</v>
      </c>
      <c r="L127" s="21">
        <f t="shared" si="2"/>
        <v>0</v>
      </c>
      <c r="M127" s="21">
        <f t="shared" si="3"/>
        <v>12.84</v>
      </c>
      <c r="N127" s="15" t="s">
        <v>28</v>
      </c>
      <c r="O127" s="15" t="s">
        <v>29</v>
      </c>
      <c r="P127" s="15"/>
      <c r="Q127" s="15"/>
      <c r="R127" s="15" t="s">
        <v>145</v>
      </c>
      <c r="S127" s="16"/>
      <c r="T127" s="15" t="s">
        <v>154</v>
      </c>
      <c r="U127" s="8">
        <v>6927.89</v>
      </c>
    </row>
    <row r="128" spans="1:21">
      <c r="A128" s="6">
        <v>46134</v>
      </c>
      <c r="B128" s="7" t="s">
        <v>32</v>
      </c>
      <c r="C128" s="9" t="s">
        <v>51</v>
      </c>
      <c r="D128" s="8">
        <v>177.12</v>
      </c>
      <c r="E128" s="7" t="s">
        <v>34</v>
      </c>
      <c r="F128" s="15" t="s">
        <v>24</v>
      </c>
      <c r="G128" s="15" t="s">
        <v>52</v>
      </c>
      <c r="H128" s="16"/>
      <c r="I128" s="15" t="s">
        <v>26</v>
      </c>
      <c r="J128" s="17">
        <v>1</v>
      </c>
      <c r="K128" s="15" t="s">
        <v>27</v>
      </c>
      <c r="L128" s="21">
        <f t="shared" si="2"/>
        <v>177.12</v>
      </c>
      <c r="M128" s="21">
        <f t="shared" si="3"/>
        <v>0</v>
      </c>
      <c r="N128" s="15" t="s">
        <v>28</v>
      </c>
      <c r="O128" s="15" t="s">
        <v>159</v>
      </c>
      <c r="P128" s="15"/>
      <c r="Q128" s="15"/>
      <c r="R128" s="15" t="s">
        <v>145</v>
      </c>
      <c r="S128" s="16"/>
      <c r="T128" s="15" t="s">
        <v>154</v>
      </c>
      <c r="U128" s="8">
        <v>6940.73</v>
      </c>
    </row>
    <row r="129" spans="1:21">
      <c r="A129" s="6">
        <v>46135</v>
      </c>
      <c r="B129" s="7" t="s">
        <v>32</v>
      </c>
      <c r="C129" s="9" t="s">
        <v>51</v>
      </c>
      <c r="D129" s="8">
        <v>78.150000000000006</v>
      </c>
      <c r="E129" s="7" t="s">
        <v>34</v>
      </c>
      <c r="F129" s="15" t="s">
        <v>24</v>
      </c>
      <c r="G129" s="15" t="s">
        <v>52</v>
      </c>
      <c r="H129" s="16"/>
      <c r="I129" s="15" t="s">
        <v>26</v>
      </c>
      <c r="J129" s="17">
        <v>1</v>
      </c>
      <c r="K129" s="15" t="s">
        <v>27</v>
      </c>
      <c r="L129" s="21">
        <f t="shared" si="2"/>
        <v>78.150000000000006</v>
      </c>
      <c r="M129" s="21">
        <f t="shared" si="3"/>
        <v>0</v>
      </c>
      <c r="N129" s="15" t="s">
        <v>28</v>
      </c>
      <c r="O129" s="15" t="s">
        <v>159</v>
      </c>
      <c r="P129" s="15"/>
      <c r="Q129" s="15"/>
      <c r="R129" s="15" t="s">
        <v>145</v>
      </c>
      <c r="S129" s="16"/>
      <c r="T129" s="15" t="s">
        <v>154</v>
      </c>
      <c r="U129" s="8">
        <v>7006.04</v>
      </c>
    </row>
    <row r="130" spans="1:21">
      <c r="A130" s="6">
        <v>46136</v>
      </c>
      <c r="B130" s="7" t="s">
        <v>46</v>
      </c>
      <c r="C130" s="9" t="s">
        <v>150</v>
      </c>
      <c r="D130" s="8">
        <v>-40</v>
      </c>
      <c r="E130" s="7" t="s">
        <v>23</v>
      </c>
      <c r="F130" s="15" t="s">
        <v>48</v>
      </c>
      <c r="G130" s="15" t="s">
        <v>144</v>
      </c>
      <c r="H130" s="16"/>
      <c r="I130" s="15" t="s">
        <v>26</v>
      </c>
      <c r="J130" s="17">
        <v>1</v>
      </c>
      <c r="K130" s="15" t="s">
        <v>27</v>
      </c>
      <c r="L130" s="21">
        <f t="shared" ref="L130:L193" si="4">IF(AND($E130="Income",$I130="Business",$K130="Yes"),MAX($D130,0)*$J130,0)</f>
        <v>0</v>
      </c>
      <c r="M130" s="21">
        <f t="shared" ref="M130:M193" si="5">IF(AND($E130="Expense",OR($I130="Business",$I130="Mixed"),OR($K130="Yes",$K130="Stock")),ABS(MIN($D130,0))*$J130,0)</f>
        <v>40</v>
      </c>
      <c r="N130" s="15" t="s">
        <v>28</v>
      </c>
      <c r="O130" s="15" t="s">
        <v>29</v>
      </c>
      <c r="P130" s="15"/>
      <c r="Q130" s="15"/>
      <c r="R130" s="15" t="s">
        <v>145</v>
      </c>
      <c r="S130" s="16"/>
      <c r="T130" s="15" t="s">
        <v>154</v>
      </c>
      <c r="U130" s="8">
        <v>7066.04</v>
      </c>
    </row>
    <row r="131" spans="1:21">
      <c r="A131" s="6">
        <v>46136</v>
      </c>
      <c r="B131" s="7" t="s">
        <v>32</v>
      </c>
      <c r="C131" s="9" t="s">
        <v>160</v>
      </c>
      <c r="D131" s="8">
        <v>100</v>
      </c>
      <c r="E131" s="7" t="s">
        <v>34</v>
      </c>
      <c r="F131" s="15" t="s">
        <v>24</v>
      </c>
      <c r="G131" s="15" t="s">
        <v>35</v>
      </c>
      <c r="H131" s="16"/>
      <c r="I131" s="15" t="s">
        <v>26</v>
      </c>
      <c r="J131" s="17">
        <v>1</v>
      </c>
      <c r="K131" s="15" t="s">
        <v>27</v>
      </c>
      <c r="L131" s="21">
        <f t="shared" si="4"/>
        <v>100</v>
      </c>
      <c r="M131" s="21">
        <f t="shared" si="5"/>
        <v>0</v>
      </c>
      <c r="N131" s="15" t="s">
        <v>28</v>
      </c>
      <c r="O131" s="15" t="s">
        <v>159</v>
      </c>
      <c r="P131" s="15"/>
      <c r="Q131" s="15"/>
      <c r="R131" s="15" t="s">
        <v>145</v>
      </c>
      <c r="S131" s="16"/>
      <c r="T131" s="15" t="s">
        <v>154</v>
      </c>
      <c r="U131" s="8">
        <v>7106.04</v>
      </c>
    </row>
    <row r="132" spans="1:21" ht="25.5">
      <c r="A132" s="6">
        <v>46139</v>
      </c>
      <c r="B132" s="7" t="s">
        <v>21</v>
      </c>
      <c r="C132" s="9" t="s">
        <v>161</v>
      </c>
      <c r="D132" s="8">
        <v>-7400</v>
      </c>
      <c r="E132" s="7" t="s">
        <v>23</v>
      </c>
      <c r="F132" s="15" t="s">
        <v>24</v>
      </c>
      <c r="G132" s="15" t="s">
        <v>37</v>
      </c>
      <c r="H132" s="16"/>
      <c r="I132" s="15" t="s">
        <v>26</v>
      </c>
      <c r="J132" s="17">
        <v>1</v>
      </c>
      <c r="K132" s="15" t="s">
        <v>162</v>
      </c>
      <c r="L132" s="21">
        <f t="shared" si="4"/>
        <v>0</v>
      </c>
      <c r="M132" s="21">
        <f t="shared" si="5"/>
        <v>7400</v>
      </c>
      <c r="N132" s="15" t="s">
        <v>28</v>
      </c>
      <c r="O132" s="15" t="s">
        <v>29</v>
      </c>
      <c r="P132" s="15"/>
      <c r="Q132" s="15"/>
      <c r="R132" s="15" t="s">
        <v>145</v>
      </c>
      <c r="S132" s="16" t="s">
        <v>163</v>
      </c>
      <c r="T132" s="15" t="s">
        <v>154</v>
      </c>
      <c r="U132" s="8">
        <v>1884.29</v>
      </c>
    </row>
    <row r="133" spans="1:21">
      <c r="A133" s="6">
        <v>46139</v>
      </c>
      <c r="B133" s="7" t="s">
        <v>57</v>
      </c>
      <c r="C133" s="9" t="s">
        <v>164</v>
      </c>
      <c r="D133" s="8">
        <v>-39.950000000000003</v>
      </c>
      <c r="E133" s="7" t="s">
        <v>23</v>
      </c>
      <c r="F133" s="15" t="s">
        <v>48</v>
      </c>
      <c r="G133" s="15" t="s">
        <v>75</v>
      </c>
      <c r="H133" s="16"/>
      <c r="I133" s="15" t="s">
        <v>26</v>
      </c>
      <c r="J133" s="17">
        <v>1</v>
      </c>
      <c r="K133" s="15" t="s">
        <v>27</v>
      </c>
      <c r="L133" s="21">
        <f t="shared" si="4"/>
        <v>0</v>
      </c>
      <c r="M133" s="21">
        <f t="shared" si="5"/>
        <v>39.950000000000003</v>
      </c>
      <c r="N133" s="15" t="s">
        <v>28</v>
      </c>
      <c r="O133" s="15" t="s">
        <v>29</v>
      </c>
      <c r="P133" s="15"/>
      <c r="Q133" s="15"/>
      <c r="R133" s="15" t="s">
        <v>145</v>
      </c>
      <c r="S133" s="16"/>
      <c r="T133" s="15" t="s">
        <v>154</v>
      </c>
      <c r="U133" s="8">
        <v>9284.2900000000009</v>
      </c>
    </row>
    <row r="134" spans="1:21">
      <c r="A134" s="6">
        <v>46139</v>
      </c>
      <c r="B134" s="7" t="s">
        <v>57</v>
      </c>
      <c r="C134" s="9" t="s">
        <v>164</v>
      </c>
      <c r="D134" s="8">
        <v>-19.95</v>
      </c>
      <c r="E134" s="7" t="s">
        <v>23</v>
      </c>
      <c r="F134" s="15" t="s">
        <v>48</v>
      </c>
      <c r="G134" s="15" t="s">
        <v>75</v>
      </c>
      <c r="H134" s="16"/>
      <c r="I134" s="15" t="s">
        <v>26</v>
      </c>
      <c r="J134" s="17">
        <v>1</v>
      </c>
      <c r="K134" s="15" t="s">
        <v>27</v>
      </c>
      <c r="L134" s="21">
        <f t="shared" si="4"/>
        <v>0</v>
      </c>
      <c r="M134" s="21">
        <f t="shared" si="5"/>
        <v>19.95</v>
      </c>
      <c r="N134" s="15" t="s">
        <v>28</v>
      </c>
      <c r="O134" s="15" t="s">
        <v>29</v>
      </c>
      <c r="P134" s="15"/>
      <c r="Q134" s="15"/>
      <c r="R134" s="15" t="s">
        <v>145</v>
      </c>
      <c r="S134" s="16"/>
      <c r="T134" s="15" t="s">
        <v>154</v>
      </c>
      <c r="U134" s="8">
        <v>9324.24</v>
      </c>
    </row>
    <row r="135" spans="1:21">
      <c r="A135" s="6">
        <v>46139</v>
      </c>
      <c r="B135" s="7" t="s">
        <v>32</v>
      </c>
      <c r="C135" s="9" t="s">
        <v>165</v>
      </c>
      <c r="D135" s="8">
        <v>2200</v>
      </c>
      <c r="E135" s="7" t="s">
        <v>34</v>
      </c>
      <c r="F135" s="15" t="s">
        <v>24</v>
      </c>
      <c r="G135" s="15" t="s">
        <v>91</v>
      </c>
      <c r="H135" s="16"/>
      <c r="I135" s="15" t="s">
        <v>26</v>
      </c>
      <c r="J135" s="17">
        <v>1</v>
      </c>
      <c r="K135" s="15" t="s">
        <v>27</v>
      </c>
      <c r="L135" s="21">
        <f t="shared" si="4"/>
        <v>2200</v>
      </c>
      <c r="M135" s="21">
        <f t="shared" si="5"/>
        <v>0</v>
      </c>
      <c r="N135" s="15" t="s">
        <v>28</v>
      </c>
      <c r="O135" s="15" t="s">
        <v>159</v>
      </c>
      <c r="P135" s="15"/>
      <c r="Q135" s="15"/>
      <c r="R135" s="15" t="s">
        <v>145</v>
      </c>
      <c r="S135" s="16"/>
      <c r="T135" s="15" t="s">
        <v>154</v>
      </c>
      <c r="U135" s="8">
        <v>9344.19</v>
      </c>
    </row>
    <row r="136" spans="1:21">
      <c r="A136" s="6">
        <v>46139</v>
      </c>
      <c r="B136" s="7" t="s">
        <v>32</v>
      </c>
      <c r="C136" s="9" t="s">
        <v>51</v>
      </c>
      <c r="D136" s="8">
        <v>78.150000000000006</v>
      </c>
      <c r="E136" s="7" t="s">
        <v>34</v>
      </c>
      <c r="F136" s="15" t="s">
        <v>24</v>
      </c>
      <c r="G136" s="15" t="s">
        <v>52</v>
      </c>
      <c r="H136" s="16"/>
      <c r="I136" s="15" t="s">
        <v>26</v>
      </c>
      <c r="J136" s="17">
        <v>1</v>
      </c>
      <c r="K136" s="15" t="s">
        <v>27</v>
      </c>
      <c r="L136" s="21">
        <f t="shared" si="4"/>
        <v>78.150000000000006</v>
      </c>
      <c r="M136" s="21">
        <f t="shared" si="5"/>
        <v>0</v>
      </c>
      <c r="N136" s="15" t="s">
        <v>28</v>
      </c>
      <c r="O136" s="15" t="s">
        <v>159</v>
      </c>
      <c r="P136" s="15"/>
      <c r="Q136" s="15"/>
      <c r="R136" s="15" t="s">
        <v>145</v>
      </c>
      <c r="S136" s="16"/>
      <c r="T136" s="15" t="s">
        <v>154</v>
      </c>
      <c r="U136" s="8">
        <v>7144.19</v>
      </c>
    </row>
    <row r="137" spans="1:21">
      <c r="A137" s="6">
        <v>46141</v>
      </c>
      <c r="B137" s="7" t="s">
        <v>32</v>
      </c>
      <c r="C137" s="9" t="s">
        <v>166</v>
      </c>
      <c r="D137" s="8">
        <v>2520</v>
      </c>
      <c r="E137" s="7" t="s">
        <v>34</v>
      </c>
      <c r="F137" s="15" t="s">
        <v>24</v>
      </c>
      <c r="G137" s="15" t="s">
        <v>167</v>
      </c>
      <c r="H137" s="16"/>
      <c r="I137" s="15" t="s">
        <v>26</v>
      </c>
      <c r="J137" s="17">
        <v>1</v>
      </c>
      <c r="K137" s="15" t="s">
        <v>27</v>
      </c>
      <c r="L137" s="21">
        <f t="shared" si="4"/>
        <v>2520</v>
      </c>
      <c r="M137" s="21">
        <f t="shared" si="5"/>
        <v>0</v>
      </c>
      <c r="N137" s="15" t="s">
        <v>28</v>
      </c>
      <c r="O137" s="15" t="s">
        <v>159</v>
      </c>
      <c r="P137" s="15"/>
      <c r="Q137" s="15"/>
      <c r="R137" s="15" t="s">
        <v>145</v>
      </c>
      <c r="S137" s="16"/>
      <c r="T137" s="15" t="s">
        <v>154</v>
      </c>
      <c r="U137" s="8">
        <v>4404.29</v>
      </c>
    </row>
    <row r="138" spans="1:21">
      <c r="A138" s="6">
        <v>46142</v>
      </c>
      <c r="B138" s="7" t="s">
        <v>46</v>
      </c>
      <c r="C138" s="9" t="s">
        <v>168</v>
      </c>
      <c r="D138" s="8">
        <v>-47</v>
      </c>
      <c r="E138" s="7" t="s">
        <v>23</v>
      </c>
      <c r="F138" s="15" t="s">
        <v>48</v>
      </c>
      <c r="G138" s="15" t="s">
        <v>144</v>
      </c>
      <c r="H138" s="16"/>
      <c r="I138" s="15" t="s">
        <v>26</v>
      </c>
      <c r="J138" s="17">
        <v>1</v>
      </c>
      <c r="K138" s="15" t="s">
        <v>27</v>
      </c>
      <c r="L138" s="21">
        <f t="shared" si="4"/>
        <v>0</v>
      </c>
      <c r="M138" s="21">
        <f t="shared" si="5"/>
        <v>47</v>
      </c>
      <c r="N138" s="15" t="s">
        <v>28</v>
      </c>
      <c r="O138" s="15" t="s">
        <v>29</v>
      </c>
      <c r="P138" s="15"/>
      <c r="Q138" s="15"/>
      <c r="R138" s="15" t="s">
        <v>145</v>
      </c>
      <c r="S138" s="16"/>
      <c r="T138" s="15" t="s">
        <v>154</v>
      </c>
      <c r="U138" s="8">
        <v>1946.84</v>
      </c>
    </row>
    <row r="139" spans="1:21">
      <c r="A139" s="6">
        <v>46142</v>
      </c>
      <c r="B139" s="7" t="s">
        <v>57</v>
      </c>
      <c r="C139" s="9" t="s">
        <v>169</v>
      </c>
      <c r="D139" s="8">
        <v>-10.45</v>
      </c>
      <c r="E139" s="7" t="s">
        <v>23</v>
      </c>
      <c r="F139" s="15" t="s">
        <v>48</v>
      </c>
      <c r="G139" s="15" t="s">
        <v>25</v>
      </c>
      <c r="H139" s="16"/>
      <c r="I139" s="15" t="s">
        <v>26</v>
      </c>
      <c r="J139" s="17">
        <v>1</v>
      </c>
      <c r="K139" s="15" t="s">
        <v>27</v>
      </c>
      <c r="L139" s="21">
        <f t="shared" si="4"/>
        <v>0</v>
      </c>
      <c r="M139" s="21">
        <f t="shared" si="5"/>
        <v>10.45</v>
      </c>
      <c r="N139" s="15" t="s">
        <v>28</v>
      </c>
      <c r="O139" s="15" t="s">
        <v>29</v>
      </c>
      <c r="P139" s="15"/>
      <c r="Q139" s="15"/>
      <c r="R139" s="15" t="s">
        <v>145</v>
      </c>
      <c r="S139" s="16"/>
      <c r="T139" s="15" t="s">
        <v>154</v>
      </c>
      <c r="U139" s="8">
        <v>1993.84</v>
      </c>
    </row>
    <row r="140" spans="1:21" ht="25.5">
      <c r="A140" s="6">
        <v>46142</v>
      </c>
      <c r="B140" s="7" t="s">
        <v>21</v>
      </c>
      <c r="C140" s="9" t="s">
        <v>98</v>
      </c>
      <c r="D140" s="8">
        <v>-2400</v>
      </c>
      <c r="E140" s="7" t="s">
        <v>23</v>
      </c>
      <c r="F140" s="15" t="s">
        <v>24</v>
      </c>
      <c r="G140" s="15" t="s">
        <v>99</v>
      </c>
      <c r="H140" s="16"/>
      <c r="I140" s="15" t="s">
        <v>100</v>
      </c>
      <c r="J140" s="17">
        <v>0</v>
      </c>
      <c r="K140" s="15" t="s">
        <v>44</v>
      </c>
      <c r="L140" s="21">
        <f t="shared" si="4"/>
        <v>0</v>
      </c>
      <c r="M140" s="21">
        <f t="shared" si="5"/>
        <v>0</v>
      </c>
      <c r="N140" s="15" t="s">
        <v>28</v>
      </c>
      <c r="O140" s="15" t="s">
        <v>159</v>
      </c>
      <c r="P140" s="15"/>
      <c r="Q140" s="15"/>
      <c r="R140" s="15" t="s">
        <v>145</v>
      </c>
      <c r="S140" s="16" t="s">
        <v>170</v>
      </c>
      <c r="T140" s="15" t="s">
        <v>154</v>
      </c>
      <c r="U140" s="8">
        <v>2004.29</v>
      </c>
    </row>
    <row r="141" spans="1:21">
      <c r="A141" s="6">
        <v>46143</v>
      </c>
      <c r="B141" s="7" t="s">
        <v>32</v>
      </c>
      <c r="C141" s="9" t="s">
        <v>171</v>
      </c>
      <c r="D141" s="8">
        <v>190</v>
      </c>
      <c r="E141" s="7" t="s">
        <v>34</v>
      </c>
      <c r="F141" s="15" t="s">
        <v>24</v>
      </c>
      <c r="G141" s="15" t="s">
        <v>35</v>
      </c>
      <c r="H141" s="16"/>
      <c r="I141" s="15" t="s">
        <v>26</v>
      </c>
      <c r="J141" s="17">
        <v>1</v>
      </c>
      <c r="K141" s="15" t="s">
        <v>27</v>
      </c>
      <c r="L141" s="21">
        <f t="shared" si="4"/>
        <v>190</v>
      </c>
      <c r="M141" s="21">
        <f t="shared" si="5"/>
        <v>0</v>
      </c>
      <c r="N141" s="15" t="s">
        <v>28</v>
      </c>
      <c r="O141" s="15" t="s">
        <v>159</v>
      </c>
      <c r="P141" s="15"/>
      <c r="Q141" s="15"/>
      <c r="R141" s="15" t="s">
        <v>145</v>
      </c>
      <c r="S141" s="16"/>
      <c r="T141" s="15" t="s">
        <v>154</v>
      </c>
      <c r="U141" s="8">
        <v>2136.84</v>
      </c>
    </row>
    <row r="142" spans="1:21">
      <c r="A142" s="6">
        <v>46146</v>
      </c>
      <c r="B142" s="7" t="s">
        <v>21</v>
      </c>
      <c r="C142" s="9" t="s">
        <v>172</v>
      </c>
      <c r="D142" s="8">
        <v>-300</v>
      </c>
      <c r="E142" s="7" t="s">
        <v>23</v>
      </c>
      <c r="F142" s="15" t="s">
        <v>24</v>
      </c>
      <c r="G142" s="15" t="s">
        <v>173</v>
      </c>
      <c r="H142" s="16"/>
      <c r="I142" s="15" t="s">
        <v>26</v>
      </c>
      <c r="J142" s="17">
        <v>1</v>
      </c>
      <c r="K142" s="15" t="s">
        <v>27</v>
      </c>
      <c r="L142" s="21">
        <f t="shared" si="4"/>
        <v>0</v>
      </c>
      <c r="M142" s="21">
        <f t="shared" si="5"/>
        <v>300</v>
      </c>
      <c r="N142" s="15" t="s">
        <v>28</v>
      </c>
      <c r="O142" s="15" t="s">
        <v>29</v>
      </c>
      <c r="P142" s="15"/>
      <c r="Q142" s="15"/>
      <c r="R142" s="15" t="s">
        <v>145</v>
      </c>
      <c r="S142" s="16"/>
      <c r="T142" s="15" t="s">
        <v>154</v>
      </c>
      <c r="U142" s="8">
        <v>1836.84</v>
      </c>
    </row>
    <row r="143" spans="1:21">
      <c r="A143" s="6">
        <v>46147</v>
      </c>
      <c r="B143" s="7" t="s">
        <v>46</v>
      </c>
      <c r="C143" s="9" t="s">
        <v>61</v>
      </c>
      <c r="D143" s="8">
        <v>-29.24</v>
      </c>
      <c r="E143" s="7" t="s">
        <v>23</v>
      </c>
      <c r="F143" s="15" t="s">
        <v>48</v>
      </c>
      <c r="G143" s="15" t="s">
        <v>25</v>
      </c>
      <c r="H143" s="16"/>
      <c r="I143" s="15" t="s">
        <v>26</v>
      </c>
      <c r="J143" s="17">
        <v>1</v>
      </c>
      <c r="K143" s="15" t="s">
        <v>27</v>
      </c>
      <c r="L143" s="21">
        <f t="shared" si="4"/>
        <v>0</v>
      </c>
      <c r="M143" s="21">
        <f t="shared" si="5"/>
        <v>29.24</v>
      </c>
      <c r="N143" s="15" t="s">
        <v>28</v>
      </c>
      <c r="O143" s="15" t="s">
        <v>29</v>
      </c>
      <c r="P143" s="15"/>
      <c r="Q143" s="15"/>
      <c r="R143" s="15" t="s">
        <v>145</v>
      </c>
      <c r="S143" s="16"/>
      <c r="T143" s="15" t="s">
        <v>154</v>
      </c>
      <c r="U143" s="8">
        <v>1984.72</v>
      </c>
    </row>
    <row r="144" spans="1:21">
      <c r="A144" s="6">
        <v>46147</v>
      </c>
      <c r="B144" s="7" t="s">
        <v>32</v>
      </c>
      <c r="C144" s="9" t="s">
        <v>51</v>
      </c>
      <c r="D144" s="8">
        <v>177.12</v>
      </c>
      <c r="E144" s="7" t="s">
        <v>34</v>
      </c>
      <c r="F144" s="15" t="s">
        <v>24</v>
      </c>
      <c r="G144" s="15" t="s">
        <v>52</v>
      </c>
      <c r="H144" s="16"/>
      <c r="I144" s="15" t="s">
        <v>26</v>
      </c>
      <c r="J144" s="17">
        <v>1</v>
      </c>
      <c r="K144" s="15" t="s">
        <v>27</v>
      </c>
      <c r="L144" s="21">
        <f t="shared" si="4"/>
        <v>177.12</v>
      </c>
      <c r="M144" s="21">
        <f t="shared" si="5"/>
        <v>0</v>
      </c>
      <c r="N144" s="15" t="s">
        <v>28</v>
      </c>
      <c r="O144" s="15" t="s">
        <v>159</v>
      </c>
      <c r="P144" s="15"/>
      <c r="Q144" s="15"/>
      <c r="R144" s="15" t="s">
        <v>145</v>
      </c>
      <c r="S144" s="16"/>
      <c r="T144" s="15" t="s">
        <v>154</v>
      </c>
      <c r="U144" s="8">
        <v>2013.96</v>
      </c>
    </row>
    <row r="145" spans="1:21" ht="25.5">
      <c r="A145" s="6">
        <v>46148</v>
      </c>
      <c r="B145" s="7" t="s">
        <v>57</v>
      </c>
      <c r="C145" s="9" t="s">
        <v>174</v>
      </c>
      <c r="D145" s="8">
        <v>-39.89</v>
      </c>
      <c r="E145" s="7" t="s">
        <v>23</v>
      </c>
      <c r="F145" s="15" t="s">
        <v>48</v>
      </c>
      <c r="G145" s="15" t="s">
        <v>175</v>
      </c>
      <c r="H145" s="16"/>
      <c r="I145" s="15" t="s">
        <v>176</v>
      </c>
      <c r="J145" s="17">
        <v>0</v>
      </c>
      <c r="K145" s="15" t="s">
        <v>44</v>
      </c>
      <c r="L145" s="21">
        <f t="shared" si="4"/>
        <v>0</v>
      </c>
      <c r="M145" s="21">
        <f t="shared" si="5"/>
        <v>0</v>
      </c>
      <c r="N145" s="15" t="s">
        <v>28</v>
      </c>
      <c r="O145" s="15" t="s">
        <v>159</v>
      </c>
      <c r="P145" s="15"/>
      <c r="Q145" s="15"/>
      <c r="R145" s="15" t="s">
        <v>145</v>
      </c>
      <c r="S145" s="16" t="s">
        <v>177</v>
      </c>
      <c r="T145" s="15" t="s">
        <v>154</v>
      </c>
      <c r="U145" s="8">
        <v>1944.83</v>
      </c>
    </row>
    <row r="146" spans="1:21">
      <c r="A146" s="6">
        <v>46149</v>
      </c>
      <c r="B146" s="7" t="s">
        <v>32</v>
      </c>
      <c r="C146" s="9" t="s">
        <v>51</v>
      </c>
      <c r="D146" s="8">
        <v>186.79</v>
      </c>
      <c r="E146" s="7" t="s">
        <v>34</v>
      </c>
      <c r="F146" s="15" t="s">
        <v>24</v>
      </c>
      <c r="G146" s="15" t="s">
        <v>52</v>
      </c>
      <c r="H146" s="16"/>
      <c r="I146" s="15" t="s">
        <v>26</v>
      </c>
      <c r="J146" s="17">
        <v>1</v>
      </c>
      <c r="K146" s="15" t="s">
        <v>27</v>
      </c>
      <c r="L146" s="21">
        <f t="shared" si="4"/>
        <v>186.79</v>
      </c>
      <c r="M146" s="21">
        <f t="shared" si="5"/>
        <v>0</v>
      </c>
      <c r="N146" s="15" t="s">
        <v>28</v>
      </c>
      <c r="O146" s="15" t="s">
        <v>159</v>
      </c>
      <c r="P146" s="15"/>
      <c r="Q146" s="15"/>
      <c r="R146" s="15" t="s">
        <v>145</v>
      </c>
      <c r="S146" s="16"/>
      <c r="T146" s="15" t="s">
        <v>154</v>
      </c>
      <c r="U146" s="8">
        <v>2131.62</v>
      </c>
    </row>
    <row r="147" spans="1:21">
      <c r="A147" s="6">
        <v>46150</v>
      </c>
      <c r="B147" s="7" t="s">
        <v>46</v>
      </c>
      <c r="C147" s="9" t="s">
        <v>178</v>
      </c>
      <c r="D147" s="8">
        <v>-9.9499999999999993</v>
      </c>
      <c r="E147" s="7" t="s">
        <v>23</v>
      </c>
      <c r="F147" s="15" t="s">
        <v>48</v>
      </c>
      <c r="G147" s="15" t="s">
        <v>25</v>
      </c>
      <c r="H147" s="16"/>
      <c r="I147" s="15" t="s">
        <v>26</v>
      </c>
      <c r="J147" s="17">
        <v>1</v>
      </c>
      <c r="K147" s="15" t="s">
        <v>27</v>
      </c>
      <c r="L147" s="21">
        <f t="shared" si="4"/>
        <v>0</v>
      </c>
      <c r="M147" s="21">
        <f t="shared" si="5"/>
        <v>9.9499999999999993</v>
      </c>
      <c r="N147" s="15" t="s">
        <v>28</v>
      </c>
      <c r="O147" s="15" t="s">
        <v>29</v>
      </c>
      <c r="P147" s="15"/>
      <c r="Q147" s="15"/>
      <c r="R147" s="15" t="s">
        <v>145</v>
      </c>
      <c r="S147" s="16"/>
      <c r="T147" s="15" t="s">
        <v>154</v>
      </c>
      <c r="U147" s="8">
        <v>2240.9699999999998</v>
      </c>
    </row>
    <row r="148" spans="1:21">
      <c r="A148" s="6">
        <v>46150</v>
      </c>
      <c r="B148" s="7" t="s">
        <v>46</v>
      </c>
      <c r="C148" s="9" t="s">
        <v>178</v>
      </c>
      <c r="D148" s="8">
        <v>-0.7</v>
      </c>
      <c r="E148" s="7" t="s">
        <v>23</v>
      </c>
      <c r="F148" s="15" t="s">
        <v>48</v>
      </c>
      <c r="G148" s="15" t="s">
        <v>25</v>
      </c>
      <c r="H148" s="16"/>
      <c r="I148" s="15" t="s">
        <v>26</v>
      </c>
      <c r="J148" s="17">
        <v>1</v>
      </c>
      <c r="K148" s="15" t="s">
        <v>27</v>
      </c>
      <c r="L148" s="21">
        <f t="shared" si="4"/>
        <v>0</v>
      </c>
      <c r="M148" s="21">
        <f t="shared" si="5"/>
        <v>0.7</v>
      </c>
      <c r="N148" s="15" t="s">
        <v>28</v>
      </c>
      <c r="O148" s="15" t="s">
        <v>29</v>
      </c>
      <c r="P148" s="15"/>
      <c r="Q148" s="15"/>
      <c r="R148" s="15" t="s">
        <v>145</v>
      </c>
      <c r="S148" s="16"/>
      <c r="T148" s="15" t="s">
        <v>154</v>
      </c>
      <c r="U148" s="8">
        <v>2250.92</v>
      </c>
    </row>
    <row r="149" spans="1:21" ht="25.5">
      <c r="A149" s="6">
        <v>46150</v>
      </c>
      <c r="B149" s="7" t="s">
        <v>32</v>
      </c>
      <c r="C149" s="9" t="s">
        <v>179</v>
      </c>
      <c r="D149" s="8">
        <v>120</v>
      </c>
      <c r="E149" s="7" t="s">
        <v>34</v>
      </c>
      <c r="F149" s="15" t="s">
        <v>24</v>
      </c>
      <c r="G149" s="15" t="s">
        <v>35</v>
      </c>
      <c r="H149" s="16"/>
      <c r="I149" s="15" t="s">
        <v>26</v>
      </c>
      <c r="J149" s="17">
        <v>1</v>
      </c>
      <c r="K149" s="15" t="s">
        <v>27</v>
      </c>
      <c r="L149" s="21">
        <f t="shared" si="4"/>
        <v>120</v>
      </c>
      <c r="M149" s="21">
        <f t="shared" si="5"/>
        <v>0</v>
      </c>
      <c r="N149" s="15" t="s">
        <v>28</v>
      </c>
      <c r="O149" s="15" t="s">
        <v>159</v>
      </c>
      <c r="P149" s="15"/>
      <c r="Q149" s="15"/>
      <c r="R149" s="15" t="s">
        <v>145</v>
      </c>
      <c r="S149" s="16"/>
      <c r="T149" s="15" t="s">
        <v>154</v>
      </c>
      <c r="U149" s="8">
        <v>2251.62</v>
      </c>
    </row>
    <row r="150" spans="1:21">
      <c r="A150" s="6">
        <v>46154</v>
      </c>
      <c r="B150" s="7" t="s">
        <v>57</v>
      </c>
      <c r="C150" s="9" t="s">
        <v>169</v>
      </c>
      <c r="D150" s="8">
        <v>-7.6</v>
      </c>
      <c r="E150" s="7" t="s">
        <v>23</v>
      </c>
      <c r="F150" s="15" t="s">
        <v>48</v>
      </c>
      <c r="G150" s="15" t="s">
        <v>25</v>
      </c>
      <c r="H150" s="16"/>
      <c r="I150" s="15" t="s">
        <v>26</v>
      </c>
      <c r="J150" s="17">
        <v>1</v>
      </c>
      <c r="K150" s="15" t="s">
        <v>27</v>
      </c>
      <c r="L150" s="21">
        <f t="shared" si="4"/>
        <v>0</v>
      </c>
      <c r="M150" s="21">
        <f t="shared" si="5"/>
        <v>7.6</v>
      </c>
      <c r="N150" s="15" t="s">
        <v>28</v>
      </c>
      <c r="O150" s="15" t="s">
        <v>29</v>
      </c>
      <c r="P150" s="15"/>
      <c r="Q150" s="15"/>
      <c r="R150" s="15" t="s">
        <v>145</v>
      </c>
      <c r="S150" s="16"/>
      <c r="T150" s="15" t="s">
        <v>154</v>
      </c>
      <c r="U150" s="8">
        <v>2272.29</v>
      </c>
    </row>
    <row r="151" spans="1:21">
      <c r="A151" s="6">
        <v>46154</v>
      </c>
      <c r="B151" s="7" t="s">
        <v>46</v>
      </c>
      <c r="C151" s="9" t="s">
        <v>180</v>
      </c>
      <c r="D151" s="8">
        <v>-50</v>
      </c>
      <c r="E151" s="7" t="s">
        <v>23</v>
      </c>
      <c r="F151" s="15" t="s">
        <v>48</v>
      </c>
      <c r="G151" s="15" t="s">
        <v>144</v>
      </c>
      <c r="H151" s="16"/>
      <c r="I151" s="15" t="s">
        <v>26</v>
      </c>
      <c r="J151" s="17">
        <v>1</v>
      </c>
      <c r="K151" s="15" t="s">
        <v>27</v>
      </c>
      <c r="L151" s="21">
        <f t="shared" si="4"/>
        <v>0</v>
      </c>
      <c r="M151" s="21">
        <f t="shared" si="5"/>
        <v>50</v>
      </c>
      <c r="N151" s="15" t="s">
        <v>28</v>
      </c>
      <c r="O151" s="15" t="s">
        <v>29</v>
      </c>
      <c r="P151" s="15"/>
      <c r="Q151" s="15"/>
      <c r="R151" s="15" t="s">
        <v>145</v>
      </c>
      <c r="S151" s="16"/>
      <c r="T151" s="15" t="s">
        <v>154</v>
      </c>
      <c r="U151" s="8">
        <v>2279.89</v>
      </c>
    </row>
    <row r="152" spans="1:21">
      <c r="A152" s="6">
        <v>46154</v>
      </c>
      <c r="B152" s="7" t="s">
        <v>32</v>
      </c>
      <c r="C152" s="9" t="s">
        <v>51</v>
      </c>
      <c r="D152" s="8">
        <v>88.92</v>
      </c>
      <c r="E152" s="7" t="s">
        <v>34</v>
      </c>
      <c r="F152" s="15" t="s">
        <v>24</v>
      </c>
      <c r="G152" s="15" t="s">
        <v>52</v>
      </c>
      <c r="H152" s="16"/>
      <c r="I152" s="15" t="s">
        <v>26</v>
      </c>
      <c r="J152" s="17">
        <v>1</v>
      </c>
      <c r="K152" s="15" t="s">
        <v>27</v>
      </c>
      <c r="L152" s="21">
        <f t="shared" si="4"/>
        <v>88.92</v>
      </c>
      <c r="M152" s="21">
        <f t="shared" si="5"/>
        <v>0</v>
      </c>
      <c r="N152" s="15" t="s">
        <v>28</v>
      </c>
      <c r="O152" s="15" t="s">
        <v>159</v>
      </c>
      <c r="P152" s="15"/>
      <c r="Q152" s="15"/>
      <c r="R152" s="15" t="s">
        <v>145</v>
      </c>
      <c r="S152" s="16"/>
      <c r="T152" s="15" t="s">
        <v>154</v>
      </c>
      <c r="U152" s="8">
        <v>2329.89</v>
      </c>
    </row>
    <row r="153" spans="1:21">
      <c r="A153" s="6">
        <v>46155</v>
      </c>
      <c r="B153" s="7" t="s">
        <v>32</v>
      </c>
      <c r="C153" s="9" t="s">
        <v>51</v>
      </c>
      <c r="D153" s="8">
        <v>155.41999999999999</v>
      </c>
      <c r="E153" s="7" t="s">
        <v>34</v>
      </c>
      <c r="F153" s="15" t="s">
        <v>24</v>
      </c>
      <c r="G153" s="15" t="s">
        <v>52</v>
      </c>
      <c r="H153" s="16"/>
      <c r="I153" s="15" t="s">
        <v>26</v>
      </c>
      <c r="J153" s="17">
        <v>1</v>
      </c>
      <c r="K153" s="15" t="s">
        <v>27</v>
      </c>
      <c r="L153" s="21">
        <f t="shared" si="4"/>
        <v>155.41999999999999</v>
      </c>
      <c r="M153" s="21">
        <f t="shared" si="5"/>
        <v>0</v>
      </c>
      <c r="N153" s="15" t="s">
        <v>28</v>
      </c>
      <c r="O153" s="15" t="s">
        <v>159</v>
      </c>
      <c r="P153" s="15"/>
      <c r="Q153" s="15"/>
      <c r="R153" s="15" t="s">
        <v>145</v>
      </c>
      <c r="S153" s="16"/>
      <c r="T153" s="15" t="s">
        <v>154</v>
      </c>
      <c r="U153" s="8">
        <v>2427.71</v>
      </c>
    </row>
    <row r="154" spans="1:21">
      <c r="A154" s="6">
        <v>46157</v>
      </c>
      <c r="B154" s="7" t="s">
        <v>57</v>
      </c>
      <c r="C154" s="9" t="s">
        <v>181</v>
      </c>
      <c r="D154" s="8">
        <v>-19</v>
      </c>
      <c r="E154" s="7" t="s">
        <v>23</v>
      </c>
      <c r="F154" s="15" t="s">
        <v>48</v>
      </c>
      <c r="G154" s="15" t="s">
        <v>72</v>
      </c>
      <c r="H154" s="16"/>
      <c r="I154" s="15" t="s">
        <v>26</v>
      </c>
      <c r="J154" s="17">
        <v>1</v>
      </c>
      <c r="K154" s="15" t="s">
        <v>27</v>
      </c>
      <c r="L154" s="21">
        <f t="shared" si="4"/>
        <v>0</v>
      </c>
      <c r="M154" s="21">
        <f t="shared" si="5"/>
        <v>19</v>
      </c>
      <c r="N154" s="15" t="s">
        <v>28</v>
      </c>
      <c r="O154" s="15" t="s">
        <v>29</v>
      </c>
      <c r="P154" s="15"/>
      <c r="Q154" s="15"/>
      <c r="R154" s="15" t="s">
        <v>145</v>
      </c>
      <c r="S154" s="16"/>
      <c r="T154" s="15" t="s">
        <v>154</v>
      </c>
      <c r="U154" s="8">
        <v>2408.71</v>
      </c>
    </row>
    <row r="155" spans="1:21" ht="25.5">
      <c r="A155" s="6">
        <v>46160</v>
      </c>
      <c r="B155" s="7" t="s">
        <v>57</v>
      </c>
      <c r="C155" s="9" t="s">
        <v>182</v>
      </c>
      <c r="D155" s="8">
        <v>-7</v>
      </c>
      <c r="E155" s="7" t="s">
        <v>23</v>
      </c>
      <c r="F155" s="15" t="s">
        <v>48</v>
      </c>
      <c r="G155" s="15" t="s">
        <v>55</v>
      </c>
      <c r="H155" s="16"/>
      <c r="I155" s="15" t="s">
        <v>26</v>
      </c>
      <c r="J155" s="17">
        <v>1</v>
      </c>
      <c r="K155" s="15" t="s">
        <v>27</v>
      </c>
      <c r="L155" s="21">
        <f t="shared" si="4"/>
        <v>0</v>
      </c>
      <c r="M155" s="21">
        <f t="shared" si="5"/>
        <v>7</v>
      </c>
      <c r="N155" s="15" t="s">
        <v>28</v>
      </c>
      <c r="O155" s="15" t="s">
        <v>29</v>
      </c>
      <c r="P155" s="15"/>
      <c r="Q155" s="15"/>
      <c r="R155" s="15" t="s">
        <v>145</v>
      </c>
      <c r="S155" s="16"/>
      <c r="T155" s="15" t="s">
        <v>154</v>
      </c>
      <c r="U155" s="8">
        <v>2376.7199999999998</v>
      </c>
    </row>
    <row r="156" spans="1:21">
      <c r="A156" s="6">
        <v>46160</v>
      </c>
      <c r="B156" s="7" t="s">
        <v>57</v>
      </c>
      <c r="C156" s="9" t="s">
        <v>183</v>
      </c>
      <c r="D156" s="8">
        <v>-24.99</v>
      </c>
      <c r="E156" s="7" t="s">
        <v>23</v>
      </c>
      <c r="F156" s="15" t="s">
        <v>48</v>
      </c>
      <c r="G156" s="15" t="s">
        <v>72</v>
      </c>
      <c r="H156" s="16"/>
      <c r="I156" s="15" t="s">
        <v>26</v>
      </c>
      <c r="J156" s="17">
        <v>1</v>
      </c>
      <c r="K156" s="15" t="s">
        <v>27</v>
      </c>
      <c r="L156" s="21">
        <f t="shared" si="4"/>
        <v>0</v>
      </c>
      <c r="M156" s="21">
        <f t="shared" si="5"/>
        <v>24.99</v>
      </c>
      <c r="N156" s="15" t="s">
        <v>28</v>
      </c>
      <c r="O156" s="15" t="s">
        <v>29</v>
      </c>
      <c r="P156" s="15"/>
      <c r="Q156" s="15"/>
      <c r="R156" s="15" t="s">
        <v>145</v>
      </c>
      <c r="S156" s="16"/>
      <c r="T156" s="15" t="s">
        <v>154</v>
      </c>
      <c r="U156" s="8">
        <v>2383.7199999999998</v>
      </c>
    </row>
    <row r="157" spans="1:21" ht="25.5">
      <c r="A157" s="6">
        <v>46161</v>
      </c>
      <c r="B157" s="7" t="s">
        <v>57</v>
      </c>
      <c r="C157" s="9" t="s">
        <v>184</v>
      </c>
      <c r="D157" s="8">
        <v>-25</v>
      </c>
      <c r="E157" s="7" t="s">
        <v>23</v>
      </c>
      <c r="F157" s="15" t="s">
        <v>48</v>
      </c>
      <c r="G157" s="15" t="s">
        <v>43</v>
      </c>
      <c r="H157" s="16"/>
      <c r="I157" s="15" t="s">
        <v>26</v>
      </c>
      <c r="J157" s="17">
        <v>1</v>
      </c>
      <c r="K157" s="15" t="s">
        <v>27</v>
      </c>
      <c r="L157" s="21">
        <f t="shared" si="4"/>
        <v>0</v>
      </c>
      <c r="M157" s="21">
        <f t="shared" si="5"/>
        <v>25</v>
      </c>
      <c r="N157" s="15" t="s">
        <v>28</v>
      </c>
      <c r="O157" s="15" t="s">
        <v>29</v>
      </c>
      <c r="P157" s="15"/>
      <c r="Q157" s="15"/>
      <c r="R157" s="15" t="s">
        <v>145</v>
      </c>
      <c r="S157" s="16"/>
      <c r="T157" s="15" t="s">
        <v>154</v>
      </c>
      <c r="U157" s="8">
        <v>2351.7199999999998</v>
      </c>
    </row>
    <row r="158" spans="1:21">
      <c r="A158" s="6">
        <v>46162</v>
      </c>
      <c r="B158" s="7" t="s">
        <v>57</v>
      </c>
      <c r="C158" s="9" t="s">
        <v>164</v>
      </c>
      <c r="D158" s="8">
        <v>-31.96</v>
      </c>
      <c r="E158" s="7" t="s">
        <v>23</v>
      </c>
      <c r="F158" s="15" t="s">
        <v>48</v>
      </c>
      <c r="G158" s="15" t="s">
        <v>75</v>
      </c>
      <c r="H158" s="16"/>
      <c r="I158" s="15" t="s">
        <v>26</v>
      </c>
      <c r="J158" s="17">
        <v>1</v>
      </c>
      <c r="K158" s="15" t="s">
        <v>27</v>
      </c>
      <c r="L158" s="21">
        <f t="shared" si="4"/>
        <v>0</v>
      </c>
      <c r="M158" s="21">
        <f t="shared" si="5"/>
        <v>31.96</v>
      </c>
      <c r="N158" s="15" t="s">
        <v>28</v>
      </c>
      <c r="O158" s="15" t="s">
        <v>29</v>
      </c>
      <c r="P158" s="15"/>
      <c r="Q158" s="15"/>
      <c r="R158" s="15" t="s">
        <v>145</v>
      </c>
      <c r="S158" s="16"/>
      <c r="T158" s="15" t="s">
        <v>154</v>
      </c>
      <c r="U158" s="8">
        <v>2239.7600000000002</v>
      </c>
    </row>
    <row r="159" spans="1:21">
      <c r="A159" s="6">
        <v>46162</v>
      </c>
      <c r="B159" s="7" t="s">
        <v>67</v>
      </c>
      <c r="C159" s="9" t="s">
        <v>68</v>
      </c>
      <c r="D159" s="8">
        <v>-80</v>
      </c>
      <c r="E159" s="7" t="s">
        <v>23</v>
      </c>
      <c r="F159" s="15" t="s">
        <v>69</v>
      </c>
      <c r="G159" s="15" t="s">
        <v>43</v>
      </c>
      <c r="H159" s="16"/>
      <c r="I159" s="15" t="s">
        <v>26</v>
      </c>
      <c r="J159" s="17">
        <v>1</v>
      </c>
      <c r="K159" s="15" t="s">
        <v>27</v>
      </c>
      <c r="L159" s="21">
        <f t="shared" si="4"/>
        <v>0</v>
      </c>
      <c r="M159" s="21">
        <f t="shared" si="5"/>
        <v>80</v>
      </c>
      <c r="N159" s="15" t="s">
        <v>28</v>
      </c>
      <c r="O159" s="15" t="s">
        <v>29</v>
      </c>
      <c r="P159" s="15"/>
      <c r="Q159" s="15"/>
      <c r="R159" s="15" t="s">
        <v>145</v>
      </c>
      <c r="S159" s="16"/>
      <c r="T159" s="15" t="s">
        <v>154</v>
      </c>
      <c r="U159" s="8">
        <v>2271.7199999999998</v>
      </c>
    </row>
    <row r="160" spans="1:21">
      <c r="A160" s="6">
        <v>46163</v>
      </c>
      <c r="B160" s="7" t="s">
        <v>32</v>
      </c>
      <c r="C160" s="9" t="s">
        <v>185</v>
      </c>
      <c r="D160" s="8">
        <v>120</v>
      </c>
      <c r="E160" s="7" t="s">
        <v>34</v>
      </c>
      <c r="F160" s="15" t="s">
        <v>24</v>
      </c>
      <c r="G160" s="15" t="s">
        <v>35</v>
      </c>
      <c r="H160" s="16"/>
      <c r="I160" s="15" t="s">
        <v>26</v>
      </c>
      <c r="J160" s="17">
        <v>1</v>
      </c>
      <c r="K160" s="15" t="s">
        <v>27</v>
      </c>
      <c r="L160" s="21">
        <f t="shared" si="4"/>
        <v>120</v>
      </c>
      <c r="M160" s="21">
        <f t="shared" si="5"/>
        <v>0</v>
      </c>
      <c r="N160" s="15" t="s">
        <v>28</v>
      </c>
      <c r="O160" s="15" t="s">
        <v>159</v>
      </c>
      <c r="P160" s="15"/>
      <c r="Q160" s="15"/>
      <c r="R160" s="15" t="s">
        <v>145</v>
      </c>
      <c r="S160" s="16"/>
      <c r="T160" s="15" t="s">
        <v>154</v>
      </c>
      <c r="U160" s="8">
        <v>2359.7600000000002</v>
      </c>
    </row>
    <row r="161" spans="1:21">
      <c r="A161" s="6">
        <v>46164</v>
      </c>
      <c r="B161" s="7" t="s">
        <v>46</v>
      </c>
      <c r="C161" s="9" t="s">
        <v>150</v>
      </c>
      <c r="D161" s="8">
        <v>-30.21</v>
      </c>
      <c r="E161" s="7" t="s">
        <v>23</v>
      </c>
      <c r="F161" s="15" t="s">
        <v>48</v>
      </c>
      <c r="G161" s="15" t="s">
        <v>144</v>
      </c>
      <c r="H161" s="16"/>
      <c r="I161" s="15" t="s">
        <v>26</v>
      </c>
      <c r="J161" s="17">
        <v>1</v>
      </c>
      <c r="K161" s="15" t="s">
        <v>27</v>
      </c>
      <c r="L161" s="21">
        <f t="shared" si="4"/>
        <v>0</v>
      </c>
      <c r="M161" s="21">
        <f t="shared" si="5"/>
        <v>30.21</v>
      </c>
      <c r="N161" s="15" t="s">
        <v>28</v>
      </c>
      <c r="O161" s="15" t="s">
        <v>29</v>
      </c>
      <c r="P161" s="15"/>
      <c r="Q161" s="15"/>
      <c r="R161" s="15" t="s">
        <v>145</v>
      </c>
      <c r="S161" s="16"/>
      <c r="T161" s="15" t="s">
        <v>154</v>
      </c>
      <c r="U161" s="8">
        <v>2329.5500000000002</v>
      </c>
    </row>
    <row r="162" spans="1:21">
      <c r="A162" s="6">
        <v>46169</v>
      </c>
      <c r="B162" s="7" t="s">
        <v>21</v>
      </c>
      <c r="C162" s="9" t="s">
        <v>186</v>
      </c>
      <c r="D162" s="8">
        <v>80</v>
      </c>
      <c r="E162" s="7" t="s">
        <v>34</v>
      </c>
      <c r="F162" s="15" t="s">
        <v>24</v>
      </c>
      <c r="G162" s="15" t="s">
        <v>35</v>
      </c>
      <c r="H162" s="16"/>
      <c r="I162" s="15" t="s">
        <v>26</v>
      </c>
      <c r="J162" s="17">
        <v>1</v>
      </c>
      <c r="K162" s="15" t="s">
        <v>27</v>
      </c>
      <c r="L162" s="21">
        <f t="shared" si="4"/>
        <v>80</v>
      </c>
      <c r="M162" s="21">
        <f t="shared" si="5"/>
        <v>0</v>
      </c>
      <c r="N162" s="15" t="s">
        <v>28</v>
      </c>
      <c r="O162" s="15" t="s">
        <v>159</v>
      </c>
      <c r="P162" s="15"/>
      <c r="Q162" s="15"/>
      <c r="R162" s="15" t="s">
        <v>145</v>
      </c>
      <c r="S162" s="16"/>
      <c r="T162" s="15" t="s">
        <v>154</v>
      </c>
      <c r="U162" s="8">
        <v>2409.5500000000002</v>
      </c>
    </row>
    <row r="163" spans="1:21">
      <c r="A163" s="6">
        <v>46170</v>
      </c>
      <c r="B163" s="7" t="s">
        <v>32</v>
      </c>
      <c r="C163" s="9" t="s">
        <v>187</v>
      </c>
      <c r="D163" s="8">
        <v>1960</v>
      </c>
      <c r="E163" s="7" t="s">
        <v>34</v>
      </c>
      <c r="F163" s="15" t="s">
        <v>24</v>
      </c>
      <c r="G163" s="15" t="s">
        <v>167</v>
      </c>
      <c r="H163" s="16"/>
      <c r="I163" s="15" t="s">
        <v>26</v>
      </c>
      <c r="J163" s="17">
        <v>1</v>
      </c>
      <c r="K163" s="15" t="s">
        <v>27</v>
      </c>
      <c r="L163" s="21">
        <f t="shared" si="4"/>
        <v>1960</v>
      </c>
      <c r="M163" s="21">
        <f t="shared" si="5"/>
        <v>0</v>
      </c>
      <c r="N163" s="15" t="s">
        <v>28</v>
      </c>
      <c r="O163" s="15" t="s">
        <v>159</v>
      </c>
      <c r="P163" s="15"/>
      <c r="Q163" s="15"/>
      <c r="R163" s="15" t="s">
        <v>145</v>
      </c>
      <c r="S163" s="16"/>
      <c r="T163" s="15" t="s">
        <v>154</v>
      </c>
      <c r="U163" s="8">
        <v>4369.55</v>
      </c>
    </row>
    <row r="164" spans="1:21">
      <c r="A164" s="6">
        <v>46171</v>
      </c>
      <c r="B164" s="7" t="s">
        <v>46</v>
      </c>
      <c r="C164" s="9" t="s">
        <v>178</v>
      </c>
      <c r="D164" s="8">
        <v>-0.7</v>
      </c>
      <c r="E164" s="7" t="s">
        <v>23</v>
      </c>
      <c r="F164" s="15" t="s">
        <v>48</v>
      </c>
      <c r="G164" s="15" t="s">
        <v>25</v>
      </c>
      <c r="H164" s="16"/>
      <c r="I164" s="15" t="s">
        <v>26</v>
      </c>
      <c r="J164" s="17">
        <v>1</v>
      </c>
      <c r="K164" s="15" t="s">
        <v>27</v>
      </c>
      <c r="L164" s="21">
        <f t="shared" si="4"/>
        <v>0</v>
      </c>
      <c r="M164" s="21">
        <f t="shared" si="5"/>
        <v>0.7</v>
      </c>
      <c r="N164" s="15" t="s">
        <v>28</v>
      </c>
      <c r="O164" s="15" t="s">
        <v>29</v>
      </c>
      <c r="P164" s="15"/>
      <c r="Q164" s="15"/>
      <c r="R164" s="15" t="s">
        <v>145</v>
      </c>
      <c r="S164" s="16"/>
      <c r="T164" s="15" t="s">
        <v>154</v>
      </c>
      <c r="U164" s="8">
        <v>4358.8999999999996</v>
      </c>
    </row>
    <row r="165" spans="1:21">
      <c r="A165" s="6">
        <v>46171</v>
      </c>
      <c r="B165" s="7" t="s">
        <v>46</v>
      </c>
      <c r="C165" s="9" t="s">
        <v>178</v>
      </c>
      <c r="D165" s="8">
        <v>-9.9499999999999993</v>
      </c>
      <c r="E165" s="7" t="s">
        <v>23</v>
      </c>
      <c r="F165" s="15" t="s">
        <v>48</v>
      </c>
      <c r="G165" s="15" t="s">
        <v>25</v>
      </c>
      <c r="H165" s="16"/>
      <c r="I165" s="15" t="s">
        <v>26</v>
      </c>
      <c r="J165" s="17">
        <v>1</v>
      </c>
      <c r="K165" s="15" t="s">
        <v>27</v>
      </c>
      <c r="L165" s="21">
        <f t="shared" si="4"/>
        <v>0</v>
      </c>
      <c r="M165" s="21">
        <f t="shared" si="5"/>
        <v>9.9499999999999993</v>
      </c>
      <c r="N165" s="15" t="s">
        <v>28</v>
      </c>
      <c r="O165" s="15" t="s">
        <v>29</v>
      </c>
      <c r="P165" s="15"/>
      <c r="Q165" s="15"/>
      <c r="R165" s="15" t="s">
        <v>145</v>
      </c>
      <c r="S165" s="16"/>
      <c r="T165" s="15" t="s">
        <v>154</v>
      </c>
      <c r="U165" s="8">
        <v>4359.6000000000004</v>
      </c>
    </row>
    <row r="166" spans="1:21" ht="25.5">
      <c r="A166" s="6">
        <v>46173</v>
      </c>
      <c r="B166" s="7" t="s">
        <v>21</v>
      </c>
      <c r="C166" s="9" t="s">
        <v>98</v>
      </c>
      <c r="D166" s="8">
        <v>-2250</v>
      </c>
      <c r="E166" s="7" t="s">
        <v>23</v>
      </c>
      <c r="F166" s="15" t="s">
        <v>24</v>
      </c>
      <c r="G166" s="15" t="s">
        <v>99</v>
      </c>
      <c r="H166" s="16"/>
      <c r="I166" s="15" t="s">
        <v>100</v>
      </c>
      <c r="J166" s="17">
        <v>0</v>
      </c>
      <c r="K166" s="15" t="s">
        <v>44</v>
      </c>
      <c r="L166" s="21">
        <f t="shared" si="4"/>
        <v>0</v>
      </c>
      <c r="M166" s="21">
        <f t="shared" si="5"/>
        <v>0</v>
      </c>
      <c r="N166" s="15" t="s">
        <v>28</v>
      </c>
      <c r="O166" s="15" t="s">
        <v>159</v>
      </c>
      <c r="P166" s="15"/>
      <c r="Q166" s="15"/>
      <c r="R166" s="15" t="s">
        <v>145</v>
      </c>
      <c r="S166" s="16" t="s">
        <v>170</v>
      </c>
      <c r="T166" s="15" t="s">
        <v>154</v>
      </c>
      <c r="U166" s="8">
        <v>2108.9</v>
      </c>
    </row>
    <row r="167" spans="1:21">
      <c r="A167" s="6">
        <v>46174</v>
      </c>
      <c r="B167" s="7" t="s">
        <v>57</v>
      </c>
      <c r="C167" s="9" t="s">
        <v>188</v>
      </c>
      <c r="D167" s="8">
        <v>-43</v>
      </c>
      <c r="E167" s="7" t="s">
        <v>23</v>
      </c>
      <c r="F167" s="15" t="s">
        <v>48</v>
      </c>
      <c r="G167" s="15" t="s">
        <v>72</v>
      </c>
      <c r="H167" s="16"/>
      <c r="I167" s="15" t="s">
        <v>26</v>
      </c>
      <c r="J167" s="17">
        <v>1</v>
      </c>
      <c r="K167" s="15" t="s">
        <v>27</v>
      </c>
      <c r="L167" s="21">
        <f t="shared" si="4"/>
        <v>0</v>
      </c>
      <c r="M167" s="21">
        <f t="shared" si="5"/>
        <v>43</v>
      </c>
      <c r="N167" s="15" t="s">
        <v>28</v>
      </c>
      <c r="O167" s="15" t="s">
        <v>29</v>
      </c>
      <c r="P167" s="15"/>
      <c r="Q167" s="15"/>
      <c r="R167" s="15" t="s">
        <v>145</v>
      </c>
      <c r="S167" s="16"/>
      <c r="T167" s="15" t="s">
        <v>154</v>
      </c>
      <c r="U167" s="8">
        <v>2030.73</v>
      </c>
    </row>
    <row r="168" spans="1:21">
      <c r="A168" s="6">
        <v>46174</v>
      </c>
      <c r="B168" s="7" t="s">
        <v>46</v>
      </c>
      <c r="C168" s="9" t="s">
        <v>150</v>
      </c>
      <c r="D168" s="8">
        <v>-35.17</v>
      </c>
      <c r="E168" s="7" t="s">
        <v>23</v>
      </c>
      <c r="F168" s="15" t="s">
        <v>48</v>
      </c>
      <c r="G168" s="15" t="s">
        <v>144</v>
      </c>
      <c r="H168" s="16"/>
      <c r="I168" s="15" t="s">
        <v>26</v>
      </c>
      <c r="J168" s="17">
        <v>1</v>
      </c>
      <c r="K168" s="15" t="s">
        <v>27</v>
      </c>
      <c r="L168" s="21">
        <f t="shared" si="4"/>
        <v>0</v>
      </c>
      <c r="M168" s="21">
        <f t="shared" si="5"/>
        <v>35.17</v>
      </c>
      <c r="N168" s="15" t="s">
        <v>28</v>
      </c>
      <c r="O168" s="15" t="s">
        <v>29</v>
      </c>
      <c r="P168" s="15"/>
      <c r="Q168" s="15"/>
      <c r="R168" s="15" t="s">
        <v>145</v>
      </c>
      <c r="S168" s="16"/>
      <c r="T168" s="15" t="s">
        <v>154</v>
      </c>
      <c r="U168" s="8">
        <v>2073.73</v>
      </c>
    </row>
    <row r="169" spans="1:21">
      <c r="A169" s="6">
        <v>46176</v>
      </c>
      <c r="B169" s="7" t="s">
        <v>57</v>
      </c>
      <c r="C169" s="9" t="s">
        <v>164</v>
      </c>
      <c r="D169" s="8">
        <v>-39.950000000000003</v>
      </c>
      <c r="E169" s="7" t="s">
        <v>23</v>
      </c>
      <c r="F169" s="15" t="s">
        <v>48</v>
      </c>
      <c r="G169" s="15" t="s">
        <v>75</v>
      </c>
      <c r="H169" s="16"/>
      <c r="I169" s="15" t="s">
        <v>26</v>
      </c>
      <c r="J169" s="17">
        <v>1</v>
      </c>
      <c r="K169" s="15" t="s">
        <v>27</v>
      </c>
      <c r="L169" s="21">
        <f t="shared" si="4"/>
        <v>0</v>
      </c>
      <c r="M169" s="21">
        <f t="shared" si="5"/>
        <v>39.950000000000003</v>
      </c>
      <c r="N169" s="15" t="s">
        <v>28</v>
      </c>
      <c r="O169" s="15" t="s">
        <v>29</v>
      </c>
      <c r="P169" s="15"/>
      <c r="Q169" s="15"/>
      <c r="R169" s="15" t="s">
        <v>145</v>
      </c>
      <c r="S169" s="16"/>
      <c r="T169" s="15" t="s">
        <v>154</v>
      </c>
      <c r="U169" s="8">
        <v>1990.78</v>
      </c>
    </row>
    <row r="170" spans="1:21">
      <c r="A170" s="6">
        <v>46178</v>
      </c>
      <c r="B170" s="7" t="s">
        <v>32</v>
      </c>
      <c r="C170" s="9" t="s">
        <v>189</v>
      </c>
      <c r="D170" s="8">
        <v>120</v>
      </c>
      <c r="E170" s="7" t="s">
        <v>34</v>
      </c>
      <c r="F170" s="15" t="s">
        <v>24</v>
      </c>
      <c r="G170" s="15" t="s">
        <v>35</v>
      </c>
      <c r="H170" s="16"/>
      <c r="I170" s="15" t="s">
        <v>26</v>
      </c>
      <c r="J170" s="17">
        <v>1</v>
      </c>
      <c r="K170" s="15" t="s">
        <v>27</v>
      </c>
      <c r="L170" s="21">
        <f t="shared" si="4"/>
        <v>120</v>
      </c>
      <c r="M170" s="21">
        <f t="shared" si="5"/>
        <v>0</v>
      </c>
      <c r="N170" s="15" t="s">
        <v>28</v>
      </c>
      <c r="O170" s="15" t="s">
        <v>159</v>
      </c>
      <c r="P170" s="15"/>
      <c r="Q170" s="15"/>
      <c r="R170" s="15" t="s">
        <v>145</v>
      </c>
      <c r="S170" s="16"/>
      <c r="T170" s="15" t="s">
        <v>154</v>
      </c>
      <c r="U170" s="8">
        <v>2110.7800000000002</v>
      </c>
    </row>
    <row r="171" spans="1:21">
      <c r="A171" s="6">
        <v>46181</v>
      </c>
      <c r="B171" s="7" t="s">
        <v>46</v>
      </c>
      <c r="C171" s="9" t="s">
        <v>190</v>
      </c>
      <c r="D171" s="8">
        <v>-16.98</v>
      </c>
      <c r="E171" s="7" t="s">
        <v>23</v>
      </c>
      <c r="F171" s="15" t="s">
        <v>48</v>
      </c>
      <c r="G171" s="15" t="s">
        <v>173</v>
      </c>
      <c r="H171" s="16"/>
      <c r="I171" s="15" t="s">
        <v>26</v>
      </c>
      <c r="J171" s="17">
        <v>1</v>
      </c>
      <c r="K171" s="15" t="s">
        <v>27</v>
      </c>
      <c r="L171" s="21">
        <f t="shared" si="4"/>
        <v>0</v>
      </c>
      <c r="M171" s="21">
        <f t="shared" si="5"/>
        <v>16.98</v>
      </c>
      <c r="N171" s="15" t="s">
        <v>28</v>
      </c>
      <c r="O171" s="15" t="s">
        <v>29</v>
      </c>
      <c r="P171" s="15"/>
      <c r="Q171" s="15"/>
      <c r="R171" s="15" t="s">
        <v>145</v>
      </c>
      <c r="S171" s="16"/>
      <c r="T171" s="15" t="s">
        <v>154</v>
      </c>
      <c r="U171" s="8">
        <v>2053.5300000000002</v>
      </c>
    </row>
    <row r="172" spans="1:21">
      <c r="A172" s="6">
        <v>46181</v>
      </c>
      <c r="B172" s="7" t="s">
        <v>46</v>
      </c>
      <c r="C172" s="9" t="s">
        <v>168</v>
      </c>
      <c r="D172" s="8">
        <v>-40.270000000000003</v>
      </c>
      <c r="E172" s="7" t="s">
        <v>23</v>
      </c>
      <c r="F172" s="15" t="s">
        <v>48</v>
      </c>
      <c r="G172" s="15" t="s">
        <v>144</v>
      </c>
      <c r="H172" s="16"/>
      <c r="I172" s="15" t="s">
        <v>26</v>
      </c>
      <c r="J172" s="17">
        <v>1</v>
      </c>
      <c r="K172" s="15" t="s">
        <v>27</v>
      </c>
      <c r="L172" s="21">
        <f t="shared" si="4"/>
        <v>0</v>
      </c>
      <c r="M172" s="21">
        <f t="shared" si="5"/>
        <v>40.270000000000003</v>
      </c>
      <c r="N172" s="15" t="s">
        <v>28</v>
      </c>
      <c r="O172" s="15" t="s">
        <v>29</v>
      </c>
      <c r="P172" s="15"/>
      <c r="Q172" s="15"/>
      <c r="R172" s="15" t="s">
        <v>145</v>
      </c>
      <c r="S172" s="16"/>
      <c r="T172" s="15" t="s">
        <v>154</v>
      </c>
      <c r="U172" s="8">
        <v>2070.5100000000002</v>
      </c>
    </row>
    <row r="173" spans="1:21">
      <c r="A173" s="6">
        <v>46182</v>
      </c>
      <c r="B173" s="7" t="s">
        <v>57</v>
      </c>
      <c r="C173" s="9" t="s">
        <v>58</v>
      </c>
      <c r="D173" s="8">
        <v>-199.94</v>
      </c>
      <c r="E173" s="7" t="s">
        <v>23</v>
      </c>
      <c r="F173" s="15" t="s">
        <v>48</v>
      </c>
      <c r="G173" s="15" t="s">
        <v>72</v>
      </c>
      <c r="H173" s="16"/>
      <c r="I173" s="15" t="s">
        <v>26</v>
      </c>
      <c r="J173" s="17">
        <v>1</v>
      </c>
      <c r="K173" s="15" t="s">
        <v>27</v>
      </c>
      <c r="L173" s="21">
        <f t="shared" si="4"/>
        <v>0</v>
      </c>
      <c r="M173" s="21">
        <f t="shared" si="5"/>
        <v>199.94</v>
      </c>
      <c r="N173" s="15" t="s">
        <v>28</v>
      </c>
      <c r="O173" s="15" t="s">
        <v>29</v>
      </c>
      <c r="P173" s="15"/>
      <c r="Q173" s="15"/>
      <c r="R173" s="15" t="s">
        <v>145</v>
      </c>
      <c r="S173" s="16"/>
      <c r="T173" s="15" t="s">
        <v>154</v>
      </c>
      <c r="U173" s="8">
        <v>1853.59</v>
      </c>
    </row>
    <row r="174" spans="1:21">
      <c r="A174" s="6">
        <v>46183</v>
      </c>
      <c r="B174" s="7" t="s">
        <v>32</v>
      </c>
      <c r="C174" s="9" t="s">
        <v>51</v>
      </c>
      <c r="D174" s="8">
        <v>211</v>
      </c>
      <c r="E174" s="7" t="s">
        <v>34</v>
      </c>
      <c r="F174" s="15" t="s">
        <v>24</v>
      </c>
      <c r="G174" s="15" t="s">
        <v>52</v>
      </c>
      <c r="H174" s="16"/>
      <c r="I174" s="15" t="s">
        <v>26</v>
      </c>
      <c r="J174" s="17">
        <v>1</v>
      </c>
      <c r="K174" s="15" t="s">
        <v>27</v>
      </c>
      <c r="L174" s="21">
        <f t="shared" si="4"/>
        <v>211</v>
      </c>
      <c r="M174" s="21">
        <f t="shared" si="5"/>
        <v>0</v>
      </c>
      <c r="N174" s="15" t="s">
        <v>28</v>
      </c>
      <c r="O174" s="15" t="s">
        <v>159</v>
      </c>
      <c r="P174" s="15"/>
      <c r="Q174" s="15"/>
      <c r="R174" s="15" t="s">
        <v>145</v>
      </c>
      <c r="S174" s="16"/>
      <c r="T174" s="15" t="s">
        <v>154</v>
      </c>
      <c r="U174" s="8">
        <v>2064.59</v>
      </c>
    </row>
    <row r="175" spans="1:21">
      <c r="A175" s="6">
        <v>46184</v>
      </c>
      <c r="B175" s="7" t="s">
        <v>46</v>
      </c>
      <c r="C175" s="9" t="s">
        <v>61</v>
      </c>
      <c r="D175" s="8">
        <v>-9.9499999999999993</v>
      </c>
      <c r="E175" s="7" t="s">
        <v>23</v>
      </c>
      <c r="F175" s="15" t="s">
        <v>48</v>
      </c>
      <c r="G175" s="15" t="s">
        <v>25</v>
      </c>
      <c r="H175" s="16"/>
      <c r="I175" s="15" t="s">
        <v>26</v>
      </c>
      <c r="J175" s="17">
        <v>1</v>
      </c>
      <c r="K175" s="15" t="s">
        <v>27</v>
      </c>
      <c r="L175" s="21">
        <f t="shared" si="4"/>
        <v>0</v>
      </c>
      <c r="M175" s="21">
        <f t="shared" si="5"/>
        <v>9.9499999999999993</v>
      </c>
      <c r="N175" s="15" t="s">
        <v>28</v>
      </c>
      <c r="O175" s="15" t="s">
        <v>29</v>
      </c>
      <c r="P175" s="15"/>
      <c r="Q175" s="15"/>
      <c r="R175" s="15" t="s">
        <v>145</v>
      </c>
      <c r="S175" s="16"/>
      <c r="T175" s="15" t="s">
        <v>154</v>
      </c>
      <c r="U175" s="8">
        <v>2054.64</v>
      </c>
    </row>
    <row r="176" spans="1:21">
      <c r="A176" s="6">
        <v>46185</v>
      </c>
      <c r="B176" s="7" t="s">
        <v>32</v>
      </c>
      <c r="C176" s="9" t="s">
        <v>191</v>
      </c>
      <c r="D176" s="8">
        <v>120</v>
      </c>
      <c r="E176" s="7" t="s">
        <v>34</v>
      </c>
      <c r="F176" s="15" t="s">
        <v>24</v>
      </c>
      <c r="G176" s="15" t="s">
        <v>35</v>
      </c>
      <c r="H176" s="16"/>
      <c r="I176" s="15" t="s">
        <v>26</v>
      </c>
      <c r="J176" s="17">
        <v>1</v>
      </c>
      <c r="K176" s="15" t="s">
        <v>27</v>
      </c>
      <c r="L176" s="21">
        <f t="shared" si="4"/>
        <v>120</v>
      </c>
      <c r="M176" s="21">
        <f t="shared" si="5"/>
        <v>0</v>
      </c>
      <c r="N176" s="15" t="s">
        <v>28</v>
      </c>
      <c r="O176" s="15" t="s">
        <v>159</v>
      </c>
      <c r="P176" s="15"/>
      <c r="Q176" s="15"/>
      <c r="R176" s="15" t="s">
        <v>145</v>
      </c>
      <c r="S176" s="16"/>
      <c r="T176" s="15" t="s">
        <v>154</v>
      </c>
      <c r="U176" s="8">
        <v>2164.69</v>
      </c>
    </row>
    <row r="177" spans="1:21">
      <c r="A177" s="6">
        <v>46185</v>
      </c>
      <c r="B177" s="7" t="s">
        <v>46</v>
      </c>
      <c r="C177" s="9" t="s">
        <v>61</v>
      </c>
      <c r="D177" s="8">
        <v>-9.9499999999999993</v>
      </c>
      <c r="E177" s="7" t="s">
        <v>23</v>
      </c>
      <c r="F177" s="15" t="s">
        <v>48</v>
      </c>
      <c r="G177" s="15" t="s">
        <v>25</v>
      </c>
      <c r="H177" s="16"/>
      <c r="I177" s="15" t="s">
        <v>26</v>
      </c>
      <c r="J177" s="17">
        <v>1</v>
      </c>
      <c r="K177" s="15" t="s">
        <v>27</v>
      </c>
      <c r="L177" s="21">
        <f t="shared" si="4"/>
        <v>0</v>
      </c>
      <c r="M177" s="21">
        <f t="shared" si="5"/>
        <v>9.9499999999999993</v>
      </c>
      <c r="N177" s="15" t="s">
        <v>28</v>
      </c>
      <c r="O177" s="15" t="s">
        <v>29</v>
      </c>
      <c r="P177" s="15"/>
      <c r="Q177" s="15"/>
      <c r="R177" s="15" t="s">
        <v>145</v>
      </c>
      <c r="S177" s="16"/>
      <c r="T177" s="15" t="s">
        <v>154</v>
      </c>
      <c r="U177" s="8">
        <v>2044.69</v>
      </c>
    </row>
    <row r="178" spans="1:21">
      <c r="A178" s="6">
        <v>46188</v>
      </c>
      <c r="B178" s="7" t="s">
        <v>46</v>
      </c>
      <c r="C178" s="9" t="s">
        <v>192</v>
      </c>
      <c r="D178" s="8">
        <v>-10.95</v>
      </c>
      <c r="E178" s="7" t="s">
        <v>23</v>
      </c>
      <c r="F178" s="15" t="s">
        <v>48</v>
      </c>
      <c r="G178" s="15" t="s">
        <v>25</v>
      </c>
      <c r="H178" s="16"/>
      <c r="I178" s="15" t="s">
        <v>26</v>
      </c>
      <c r="J178" s="17">
        <v>1</v>
      </c>
      <c r="K178" s="15" t="s">
        <v>27</v>
      </c>
      <c r="L178" s="21">
        <f t="shared" si="4"/>
        <v>0</v>
      </c>
      <c r="M178" s="21">
        <f t="shared" si="5"/>
        <v>10.95</v>
      </c>
      <c r="N178" s="15" t="s">
        <v>28</v>
      </c>
      <c r="O178" s="15" t="s">
        <v>29</v>
      </c>
      <c r="P178" s="15"/>
      <c r="Q178" s="15"/>
      <c r="R178" s="15" t="s">
        <v>145</v>
      </c>
      <c r="S178" s="16"/>
      <c r="T178" s="15" t="s">
        <v>154</v>
      </c>
      <c r="U178" s="8">
        <v>2408</v>
      </c>
    </row>
    <row r="179" spans="1:21">
      <c r="A179" s="6">
        <v>46188</v>
      </c>
      <c r="B179" s="7" t="s">
        <v>32</v>
      </c>
      <c r="C179" s="9" t="s">
        <v>51</v>
      </c>
      <c r="D179" s="8">
        <v>254.26</v>
      </c>
      <c r="E179" s="7" t="s">
        <v>34</v>
      </c>
      <c r="F179" s="15" t="s">
        <v>24</v>
      </c>
      <c r="G179" s="15" t="s">
        <v>52</v>
      </c>
      <c r="H179" s="16"/>
      <c r="I179" s="15" t="s">
        <v>26</v>
      </c>
      <c r="J179" s="17">
        <v>1</v>
      </c>
      <c r="K179" s="15" t="s">
        <v>27</v>
      </c>
      <c r="L179" s="21">
        <f t="shared" si="4"/>
        <v>254.26</v>
      </c>
      <c r="M179" s="21">
        <f t="shared" si="5"/>
        <v>0</v>
      </c>
      <c r="N179" s="15" t="s">
        <v>28</v>
      </c>
      <c r="O179" s="15" t="s">
        <v>159</v>
      </c>
      <c r="P179" s="15"/>
      <c r="Q179" s="15"/>
      <c r="R179" s="15" t="s">
        <v>145</v>
      </c>
      <c r="S179" s="16"/>
      <c r="T179" s="15" t="s">
        <v>154</v>
      </c>
      <c r="U179" s="8">
        <v>2418.9499999999998</v>
      </c>
    </row>
    <row r="180" spans="1:21">
      <c r="A180" s="6">
        <v>46189</v>
      </c>
      <c r="B180" s="7" t="s">
        <v>32</v>
      </c>
      <c r="C180" s="9" t="s">
        <v>193</v>
      </c>
      <c r="D180" s="8">
        <v>250</v>
      </c>
      <c r="E180" s="7" t="s">
        <v>34</v>
      </c>
      <c r="F180" s="15" t="s">
        <v>24</v>
      </c>
      <c r="G180" s="15" t="s">
        <v>35</v>
      </c>
      <c r="H180" s="16"/>
      <c r="I180" s="15" t="s">
        <v>26</v>
      </c>
      <c r="J180" s="17">
        <v>1</v>
      </c>
      <c r="K180" s="15" t="s">
        <v>27</v>
      </c>
      <c r="L180" s="21">
        <f t="shared" si="4"/>
        <v>250</v>
      </c>
      <c r="M180" s="21">
        <f t="shared" si="5"/>
        <v>0</v>
      </c>
      <c r="N180" s="15" t="s">
        <v>28</v>
      </c>
      <c r="O180" s="15" t="s">
        <v>159</v>
      </c>
      <c r="P180" s="15"/>
      <c r="Q180" s="15"/>
      <c r="R180" s="15" t="s">
        <v>145</v>
      </c>
      <c r="S180" s="16"/>
      <c r="T180" s="15" t="s">
        <v>154</v>
      </c>
      <c r="U180" s="8">
        <v>2658</v>
      </c>
    </row>
    <row r="181" spans="1:21">
      <c r="A181" s="6">
        <v>46190</v>
      </c>
      <c r="B181" s="7" t="s">
        <v>32</v>
      </c>
      <c r="C181" s="9" t="s">
        <v>51</v>
      </c>
      <c r="D181" s="8">
        <v>166.35</v>
      </c>
      <c r="E181" s="7" t="s">
        <v>34</v>
      </c>
      <c r="F181" s="15" t="s">
        <v>24</v>
      </c>
      <c r="G181" s="15" t="s">
        <v>52</v>
      </c>
      <c r="H181" s="16"/>
      <c r="I181" s="15" t="s">
        <v>26</v>
      </c>
      <c r="J181" s="17">
        <v>1</v>
      </c>
      <c r="K181" s="15" t="s">
        <v>27</v>
      </c>
      <c r="L181" s="21">
        <f t="shared" si="4"/>
        <v>166.35</v>
      </c>
      <c r="M181" s="21">
        <f t="shared" si="5"/>
        <v>0</v>
      </c>
      <c r="N181" s="15" t="s">
        <v>28</v>
      </c>
      <c r="O181" s="15" t="s">
        <v>159</v>
      </c>
      <c r="P181" s="15"/>
      <c r="Q181" s="15"/>
      <c r="R181" s="15" t="s">
        <v>145</v>
      </c>
      <c r="S181" s="16"/>
      <c r="T181" s="15" t="s">
        <v>154</v>
      </c>
      <c r="U181" s="8">
        <v>2824.35</v>
      </c>
    </row>
    <row r="182" spans="1:21" ht="25.5">
      <c r="A182" s="6">
        <v>46191</v>
      </c>
      <c r="B182" s="7" t="s">
        <v>57</v>
      </c>
      <c r="C182" s="9" t="s">
        <v>194</v>
      </c>
      <c r="D182" s="8">
        <v>-7</v>
      </c>
      <c r="E182" s="7" t="s">
        <v>23</v>
      </c>
      <c r="F182" s="15" t="s">
        <v>48</v>
      </c>
      <c r="G182" s="15" t="s">
        <v>55</v>
      </c>
      <c r="H182" s="16"/>
      <c r="I182" s="15" t="s">
        <v>26</v>
      </c>
      <c r="J182" s="17">
        <v>1</v>
      </c>
      <c r="K182" s="15" t="s">
        <v>27</v>
      </c>
      <c r="L182" s="21">
        <f t="shared" si="4"/>
        <v>0</v>
      </c>
      <c r="M182" s="21">
        <f t="shared" si="5"/>
        <v>7</v>
      </c>
      <c r="N182" s="15" t="s">
        <v>28</v>
      </c>
      <c r="O182" s="15" t="s">
        <v>29</v>
      </c>
      <c r="P182" s="15"/>
      <c r="Q182" s="15"/>
      <c r="R182" s="15" t="s">
        <v>145</v>
      </c>
      <c r="S182" s="16"/>
      <c r="T182" s="15" t="s">
        <v>154</v>
      </c>
      <c r="U182" s="8">
        <v>2400.5</v>
      </c>
    </row>
    <row r="183" spans="1:21" ht="25.5">
      <c r="A183" s="6">
        <v>46191</v>
      </c>
      <c r="B183" s="7" t="s">
        <v>57</v>
      </c>
      <c r="C183" s="9" t="s">
        <v>195</v>
      </c>
      <c r="D183" s="8">
        <v>-464</v>
      </c>
      <c r="E183" s="7" t="s">
        <v>23</v>
      </c>
      <c r="F183" s="15" t="s">
        <v>48</v>
      </c>
      <c r="G183" s="15" t="s">
        <v>55</v>
      </c>
      <c r="H183" s="16"/>
      <c r="I183" s="15" t="s">
        <v>26</v>
      </c>
      <c r="J183" s="17">
        <v>1</v>
      </c>
      <c r="K183" s="15" t="s">
        <v>27</v>
      </c>
      <c r="L183" s="21">
        <f t="shared" si="4"/>
        <v>0</v>
      </c>
      <c r="M183" s="21">
        <f t="shared" si="5"/>
        <v>464</v>
      </c>
      <c r="N183" s="15" t="s">
        <v>28</v>
      </c>
      <c r="O183" s="15" t="s">
        <v>29</v>
      </c>
      <c r="P183" s="15"/>
      <c r="Q183" s="15"/>
      <c r="R183" s="15" t="s">
        <v>145</v>
      </c>
      <c r="S183" s="16"/>
      <c r="T183" s="15" t="s">
        <v>154</v>
      </c>
      <c r="U183" s="8">
        <v>2407.5</v>
      </c>
    </row>
    <row r="184" spans="1:21" ht="25.5">
      <c r="A184" s="6">
        <v>46191</v>
      </c>
      <c r="B184" s="7" t="s">
        <v>57</v>
      </c>
      <c r="C184" s="9" t="s">
        <v>196</v>
      </c>
      <c r="D184" s="8">
        <v>-25</v>
      </c>
      <c r="E184" s="7" t="s">
        <v>23</v>
      </c>
      <c r="F184" s="15" t="s">
        <v>48</v>
      </c>
      <c r="G184" s="15" t="s">
        <v>43</v>
      </c>
      <c r="H184" s="16"/>
      <c r="I184" s="15" t="s">
        <v>26</v>
      </c>
      <c r="J184" s="17">
        <v>1</v>
      </c>
      <c r="K184" s="15" t="s">
        <v>27</v>
      </c>
      <c r="L184" s="21">
        <f t="shared" si="4"/>
        <v>0</v>
      </c>
      <c r="M184" s="21">
        <f t="shared" si="5"/>
        <v>25</v>
      </c>
      <c r="N184" s="15" t="s">
        <v>28</v>
      </c>
      <c r="O184" s="15" t="s">
        <v>29</v>
      </c>
      <c r="P184" s="15"/>
      <c r="Q184" s="15"/>
      <c r="R184" s="15" t="s">
        <v>145</v>
      </c>
      <c r="S184" s="16"/>
      <c r="T184" s="15" t="s">
        <v>154</v>
      </c>
      <c r="U184" s="8">
        <v>2871.5</v>
      </c>
    </row>
    <row r="185" spans="1:21">
      <c r="A185" s="6">
        <v>46191</v>
      </c>
      <c r="B185" s="7" t="s">
        <v>32</v>
      </c>
      <c r="C185" s="9" t="s">
        <v>197</v>
      </c>
      <c r="D185" s="8">
        <v>90</v>
      </c>
      <c r="E185" s="7" t="s">
        <v>34</v>
      </c>
      <c r="F185" s="15" t="s">
        <v>24</v>
      </c>
      <c r="G185" s="15" t="s">
        <v>35</v>
      </c>
      <c r="H185" s="16"/>
      <c r="I185" s="15" t="s">
        <v>26</v>
      </c>
      <c r="J185" s="17">
        <v>1</v>
      </c>
      <c r="K185" s="15" t="s">
        <v>27</v>
      </c>
      <c r="L185" s="21">
        <f t="shared" si="4"/>
        <v>90</v>
      </c>
      <c r="M185" s="21">
        <f t="shared" si="5"/>
        <v>0</v>
      </c>
      <c r="N185" s="15" t="s">
        <v>28</v>
      </c>
      <c r="O185" s="15" t="s">
        <v>159</v>
      </c>
      <c r="P185" s="15"/>
      <c r="Q185" s="15"/>
      <c r="R185" s="15" t="s">
        <v>145</v>
      </c>
      <c r="S185" s="16"/>
      <c r="T185" s="15" t="s">
        <v>154</v>
      </c>
      <c r="U185" s="8">
        <v>2896.5</v>
      </c>
    </row>
    <row r="186" spans="1:21">
      <c r="A186" s="6">
        <v>46191</v>
      </c>
      <c r="B186" s="7" t="s">
        <v>57</v>
      </c>
      <c r="C186" s="9" t="s">
        <v>169</v>
      </c>
      <c r="D186" s="8">
        <v>-17.850000000000001</v>
      </c>
      <c r="E186" s="7" t="s">
        <v>23</v>
      </c>
      <c r="F186" s="15" t="s">
        <v>48</v>
      </c>
      <c r="G186" s="15" t="s">
        <v>25</v>
      </c>
      <c r="H186" s="16"/>
      <c r="I186" s="15" t="s">
        <v>26</v>
      </c>
      <c r="J186" s="17">
        <v>1</v>
      </c>
      <c r="K186" s="15" t="s">
        <v>27</v>
      </c>
      <c r="L186" s="21">
        <f t="shared" si="4"/>
        <v>0</v>
      </c>
      <c r="M186" s="21">
        <f t="shared" si="5"/>
        <v>17.850000000000001</v>
      </c>
      <c r="N186" s="15" t="s">
        <v>28</v>
      </c>
      <c r="O186" s="15" t="s">
        <v>29</v>
      </c>
      <c r="P186" s="15"/>
      <c r="Q186" s="15"/>
      <c r="R186" s="15" t="s">
        <v>145</v>
      </c>
      <c r="S186" s="16"/>
      <c r="T186" s="15" t="s">
        <v>154</v>
      </c>
      <c r="U186" s="8">
        <v>2806.5</v>
      </c>
    </row>
    <row r="187" spans="1:21">
      <c r="A187" s="6">
        <v>46192</v>
      </c>
      <c r="B187" s="7" t="s">
        <v>46</v>
      </c>
      <c r="C187" s="9" t="s">
        <v>150</v>
      </c>
      <c r="D187" s="8">
        <v>-39.94</v>
      </c>
      <c r="E187" s="7" t="s">
        <v>23</v>
      </c>
      <c r="F187" s="15" t="s">
        <v>48</v>
      </c>
      <c r="G187" s="15" t="s">
        <v>144</v>
      </c>
      <c r="H187" s="16"/>
      <c r="I187" s="15" t="s">
        <v>26</v>
      </c>
      <c r="J187" s="17">
        <v>1</v>
      </c>
      <c r="K187" s="15" t="s">
        <v>27</v>
      </c>
      <c r="L187" s="21">
        <f t="shared" si="4"/>
        <v>0</v>
      </c>
      <c r="M187" s="21">
        <f t="shared" si="5"/>
        <v>39.94</v>
      </c>
      <c r="N187" s="15" t="s">
        <v>28</v>
      </c>
      <c r="O187" s="15" t="s">
        <v>29</v>
      </c>
      <c r="P187" s="15"/>
      <c r="Q187" s="15"/>
      <c r="R187" s="15" t="s">
        <v>145</v>
      </c>
      <c r="S187" s="16"/>
      <c r="T187" s="15" t="s">
        <v>154</v>
      </c>
      <c r="U187" s="8">
        <v>2360.56</v>
      </c>
    </row>
    <row r="188" spans="1:21">
      <c r="A188" s="6">
        <v>46193</v>
      </c>
      <c r="B188" s="7" t="s">
        <v>32</v>
      </c>
      <c r="C188" s="9" t="s">
        <v>198</v>
      </c>
      <c r="D188" s="8">
        <v>185</v>
      </c>
      <c r="E188" s="7" t="s">
        <v>34</v>
      </c>
      <c r="F188" s="15" t="s">
        <v>24</v>
      </c>
      <c r="G188" s="15" t="s">
        <v>35</v>
      </c>
      <c r="H188" s="16"/>
      <c r="I188" s="15" t="s">
        <v>26</v>
      </c>
      <c r="J188" s="17">
        <v>1</v>
      </c>
      <c r="K188" s="15" t="s">
        <v>27</v>
      </c>
      <c r="L188" s="21">
        <f t="shared" si="4"/>
        <v>185</v>
      </c>
      <c r="M188" s="21">
        <f t="shared" si="5"/>
        <v>0</v>
      </c>
      <c r="N188" s="15" t="s">
        <v>28</v>
      </c>
      <c r="O188" s="15" t="s">
        <v>159</v>
      </c>
      <c r="P188" s="15"/>
      <c r="Q188" s="15"/>
      <c r="R188" s="15" t="s">
        <v>145</v>
      </c>
      <c r="S188" s="16"/>
      <c r="T188" s="15" t="s">
        <v>154</v>
      </c>
      <c r="U188" s="8">
        <v>2545.56</v>
      </c>
    </row>
    <row r="189" spans="1:21">
      <c r="A189" s="6">
        <v>46195</v>
      </c>
      <c r="B189" s="7" t="s">
        <v>46</v>
      </c>
      <c r="C189" s="9" t="s">
        <v>61</v>
      </c>
      <c r="D189" s="8">
        <v>-10.95</v>
      </c>
      <c r="E189" s="7" t="s">
        <v>23</v>
      </c>
      <c r="F189" s="15" t="s">
        <v>48</v>
      </c>
      <c r="G189" s="15" t="s">
        <v>25</v>
      </c>
      <c r="H189" s="16"/>
      <c r="I189" s="15" t="s">
        <v>26</v>
      </c>
      <c r="J189" s="17">
        <v>1</v>
      </c>
      <c r="K189" s="15" t="s">
        <v>27</v>
      </c>
      <c r="L189" s="21">
        <f t="shared" si="4"/>
        <v>0</v>
      </c>
      <c r="M189" s="21">
        <f t="shared" si="5"/>
        <v>10.95</v>
      </c>
      <c r="N189" s="15" t="s">
        <v>28</v>
      </c>
      <c r="O189" s="15" t="s">
        <v>29</v>
      </c>
      <c r="P189" s="15"/>
      <c r="Q189" s="15"/>
      <c r="R189" s="15" t="s">
        <v>145</v>
      </c>
      <c r="S189" s="16"/>
      <c r="T189" s="15" t="s">
        <v>154</v>
      </c>
      <c r="U189" s="8">
        <v>2518.4699999999998</v>
      </c>
    </row>
    <row r="190" spans="1:21">
      <c r="A190" s="6">
        <v>46195</v>
      </c>
      <c r="B190" s="7" t="s">
        <v>46</v>
      </c>
      <c r="C190" s="9" t="s">
        <v>61</v>
      </c>
      <c r="D190" s="8">
        <v>-16.14</v>
      </c>
      <c r="E190" s="7" t="s">
        <v>23</v>
      </c>
      <c r="F190" s="15" t="s">
        <v>48</v>
      </c>
      <c r="G190" s="15" t="s">
        <v>25</v>
      </c>
      <c r="H190" s="16"/>
      <c r="I190" s="15" t="s">
        <v>26</v>
      </c>
      <c r="J190" s="17">
        <v>1</v>
      </c>
      <c r="K190" s="15" t="s">
        <v>27</v>
      </c>
      <c r="L190" s="21">
        <f t="shared" si="4"/>
        <v>0</v>
      </c>
      <c r="M190" s="21">
        <f t="shared" si="5"/>
        <v>16.14</v>
      </c>
      <c r="N190" s="15" t="s">
        <v>28</v>
      </c>
      <c r="O190" s="15" t="s">
        <v>29</v>
      </c>
      <c r="P190" s="15"/>
      <c r="Q190" s="15"/>
      <c r="R190" s="15" t="s">
        <v>145</v>
      </c>
      <c r="S190" s="16"/>
      <c r="T190" s="15" t="s">
        <v>154</v>
      </c>
      <c r="U190" s="8">
        <v>2529.42</v>
      </c>
    </row>
    <row r="191" spans="1:21">
      <c r="A191" s="6">
        <v>46196</v>
      </c>
      <c r="B191" s="7" t="s">
        <v>32</v>
      </c>
      <c r="C191" s="9" t="s">
        <v>199</v>
      </c>
      <c r="D191" s="8">
        <v>1100</v>
      </c>
      <c r="E191" s="7" t="s">
        <v>34</v>
      </c>
      <c r="F191" s="15" t="s">
        <v>24</v>
      </c>
      <c r="G191" s="15" t="s">
        <v>35</v>
      </c>
      <c r="H191" s="16"/>
      <c r="I191" s="15" t="s">
        <v>26</v>
      </c>
      <c r="J191" s="17">
        <v>1</v>
      </c>
      <c r="K191" s="15" t="s">
        <v>27</v>
      </c>
      <c r="L191" s="21">
        <f t="shared" si="4"/>
        <v>1100</v>
      </c>
      <c r="M191" s="21">
        <f t="shared" si="5"/>
        <v>0</v>
      </c>
      <c r="N191" s="15" t="s">
        <v>28</v>
      </c>
      <c r="O191" s="15" t="s">
        <v>159</v>
      </c>
      <c r="P191" s="15"/>
      <c r="Q191" s="15"/>
      <c r="R191" s="15" t="s">
        <v>145</v>
      </c>
      <c r="S191" s="16"/>
      <c r="T191" s="15" t="s">
        <v>154</v>
      </c>
      <c r="U191" s="8">
        <v>3618.47</v>
      </c>
    </row>
    <row r="192" spans="1:21">
      <c r="A192" s="6">
        <v>46197</v>
      </c>
      <c r="B192" s="7" t="s">
        <v>32</v>
      </c>
      <c r="C192" s="9" t="s">
        <v>200</v>
      </c>
      <c r="D192" s="8">
        <v>1500</v>
      </c>
      <c r="E192" s="7" t="s">
        <v>34</v>
      </c>
      <c r="F192" s="15" t="s">
        <v>24</v>
      </c>
      <c r="G192" s="15" t="s">
        <v>35</v>
      </c>
      <c r="H192" s="16"/>
      <c r="I192" s="15" t="s">
        <v>26</v>
      </c>
      <c r="J192" s="17">
        <v>1</v>
      </c>
      <c r="K192" s="15" t="s">
        <v>27</v>
      </c>
      <c r="L192" s="21">
        <f t="shared" si="4"/>
        <v>1500</v>
      </c>
      <c r="M192" s="21">
        <f t="shared" si="5"/>
        <v>0</v>
      </c>
      <c r="N192" s="15" t="s">
        <v>28</v>
      </c>
      <c r="O192" s="15" t="s">
        <v>159</v>
      </c>
      <c r="P192" s="15"/>
      <c r="Q192" s="15"/>
      <c r="R192" s="15" t="s">
        <v>145</v>
      </c>
      <c r="S192" s="16"/>
      <c r="T192" s="15" t="s">
        <v>154</v>
      </c>
      <c r="U192" s="8">
        <v>5667.19</v>
      </c>
    </row>
    <row r="193" spans="1:21">
      <c r="A193" s="6">
        <v>46197</v>
      </c>
      <c r="B193" s="7" t="s">
        <v>32</v>
      </c>
      <c r="C193" s="9" t="s">
        <v>201</v>
      </c>
      <c r="D193" s="8">
        <v>79</v>
      </c>
      <c r="E193" s="7" t="s">
        <v>34</v>
      </c>
      <c r="F193" s="15" t="s">
        <v>24</v>
      </c>
      <c r="G193" s="15" t="s">
        <v>35</v>
      </c>
      <c r="H193" s="16"/>
      <c r="I193" s="15" t="s">
        <v>26</v>
      </c>
      <c r="J193" s="17">
        <v>1</v>
      </c>
      <c r="K193" s="15" t="s">
        <v>27</v>
      </c>
      <c r="L193" s="21">
        <f t="shared" si="4"/>
        <v>79</v>
      </c>
      <c r="M193" s="21">
        <f t="shared" si="5"/>
        <v>0</v>
      </c>
      <c r="N193" s="15" t="s">
        <v>28</v>
      </c>
      <c r="O193" s="15" t="s">
        <v>159</v>
      </c>
      <c r="P193" s="15"/>
      <c r="Q193" s="15"/>
      <c r="R193" s="15" t="s">
        <v>145</v>
      </c>
      <c r="S193" s="16"/>
      <c r="T193" s="15" t="s">
        <v>154</v>
      </c>
      <c r="U193" s="8">
        <v>4167.1899999999996</v>
      </c>
    </row>
    <row r="194" spans="1:21">
      <c r="A194" s="6">
        <v>46197</v>
      </c>
      <c r="B194" s="7" t="s">
        <v>57</v>
      </c>
      <c r="C194" s="9" t="s">
        <v>169</v>
      </c>
      <c r="D194" s="8">
        <v>-3.8</v>
      </c>
      <c r="E194" s="7" t="s">
        <v>23</v>
      </c>
      <c r="F194" s="15" t="s">
        <v>48</v>
      </c>
      <c r="G194" s="15" t="s">
        <v>25</v>
      </c>
      <c r="H194" s="16"/>
      <c r="I194" s="15" t="s">
        <v>26</v>
      </c>
      <c r="J194" s="17">
        <v>1</v>
      </c>
      <c r="K194" s="15" t="s">
        <v>27</v>
      </c>
      <c r="L194" s="21">
        <f t="shared" ref="L194:L228" si="6">IF(AND($E194="Income",$I194="Business",$K194="Yes"),MAX($D194,0)*$J194,0)</f>
        <v>0</v>
      </c>
      <c r="M194" s="21">
        <f t="shared" ref="M194:M228" si="7">IF(AND($E194="Expense",OR($I194="Business",$I194="Mixed"),OR($K194="Yes",$K194="Stock")),ABS(MIN($D194,0))*$J194,0)</f>
        <v>3.8</v>
      </c>
      <c r="N194" s="15" t="s">
        <v>28</v>
      </c>
      <c r="O194" s="15" t="s">
        <v>29</v>
      </c>
      <c r="P194" s="15"/>
      <c r="Q194" s="15"/>
      <c r="R194" s="15" t="s">
        <v>145</v>
      </c>
      <c r="S194" s="16"/>
      <c r="T194" s="15" t="s">
        <v>154</v>
      </c>
      <c r="U194" s="8">
        <v>4088.19</v>
      </c>
    </row>
    <row r="195" spans="1:21">
      <c r="A195" s="6">
        <v>46197</v>
      </c>
      <c r="B195" s="7" t="s">
        <v>32</v>
      </c>
      <c r="C195" s="9" t="s">
        <v>202</v>
      </c>
      <c r="D195" s="8">
        <v>120</v>
      </c>
      <c r="E195" s="7" t="s">
        <v>34</v>
      </c>
      <c r="F195" s="15" t="s">
        <v>24</v>
      </c>
      <c r="G195" s="15" t="s">
        <v>35</v>
      </c>
      <c r="H195" s="16"/>
      <c r="I195" s="15" t="s">
        <v>26</v>
      </c>
      <c r="J195" s="17">
        <v>1</v>
      </c>
      <c r="K195" s="15" t="s">
        <v>27</v>
      </c>
      <c r="L195" s="21">
        <f t="shared" si="6"/>
        <v>120</v>
      </c>
      <c r="M195" s="21">
        <f t="shared" si="7"/>
        <v>0</v>
      </c>
      <c r="N195" s="15" t="s">
        <v>28</v>
      </c>
      <c r="O195" s="15" t="s">
        <v>159</v>
      </c>
      <c r="P195" s="15"/>
      <c r="Q195" s="15"/>
      <c r="R195" s="15" t="s">
        <v>145</v>
      </c>
      <c r="S195" s="16"/>
      <c r="T195" s="15" t="s">
        <v>154</v>
      </c>
      <c r="U195" s="8">
        <v>4091.99</v>
      </c>
    </row>
    <row r="196" spans="1:21">
      <c r="A196" s="6">
        <v>46197</v>
      </c>
      <c r="B196" s="7" t="s">
        <v>32</v>
      </c>
      <c r="C196" s="9" t="s">
        <v>51</v>
      </c>
      <c r="D196" s="8">
        <v>353.52</v>
      </c>
      <c r="E196" s="7" t="s">
        <v>34</v>
      </c>
      <c r="F196" s="15" t="s">
        <v>24</v>
      </c>
      <c r="G196" s="15" t="s">
        <v>52</v>
      </c>
      <c r="H196" s="16"/>
      <c r="I196" s="15" t="s">
        <v>26</v>
      </c>
      <c r="J196" s="17">
        <v>1</v>
      </c>
      <c r="K196" s="15" t="s">
        <v>27</v>
      </c>
      <c r="L196" s="21">
        <f t="shared" si="6"/>
        <v>353.52</v>
      </c>
      <c r="M196" s="21">
        <f t="shared" si="7"/>
        <v>0</v>
      </c>
      <c r="N196" s="15" t="s">
        <v>28</v>
      </c>
      <c r="O196" s="15" t="s">
        <v>159</v>
      </c>
      <c r="P196" s="15"/>
      <c r="Q196" s="15"/>
      <c r="R196" s="15" t="s">
        <v>145</v>
      </c>
      <c r="S196" s="16"/>
      <c r="T196" s="15" t="s">
        <v>154</v>
      </c>
      <c r="U196" s="8">
        <v>3971.99</v>
      </c>
    </row>
    <row r="197" spans="1:21">
      <c r="A197" s="6">
        <v>46198</v>
      </c>
      <c r="B197" s="7" t="s">
        <v>32</v>
      </c>
      <c r="C197" s="9" t="s">
        <v>51</v>
      </c>
      <c r="D197" s="8">
        <v>78.150000000000006</v>
      </c>
      <c r="E197" s="7" t="s">
        <v>34</v>
      </c>
      <c r="F197" s="15" t="s">
        <v>24</v>
      </c>
      <c r="G197" s="15" t="s">
        <v>52</v>
      </c>
      <c r="H197" s="16"/>
      <c r="I197" s="15" t="s">
        <v>26</v>
      </c>
      <c r="J197" s="17">
        <v>1</v>
      </c>
      <c r="K197" s="15" t="s">
        <v>27</v>
      </c>
      <c r="L197" s="21">
        <f t="shared" si="6"/>
        <v>78.150000000000006</v>
      </c>
      <c r="M197" s="21">
        <f t="shared" si="7"/>
        <v>0</v>
      </c>
      <c r="N197" s="15" t="s">
        <v>28</v>
      </c>
      <c r="O197" s="15" t="s">
        <v>159</v>
      </c>
      <c r="P197" s="15"/>
      <c r="Q197" s="15"/>
      <c r="R197" s="15" t="s">
        <v>145</v>
      </c>
      <c r="S197" s="16"/>
      <c r="T197" s="15" t="s">
        <v>154</v>
      </c>
      <c r="U197" s="8">
        <v>5745.34</v>
      </c>
    </row>
    <row r="198" spans="1:21">
      <c r="A198" s="6">
        <v>46199</v>
      </c>
      <c r="B198" s="7" t="s">
        <v>46</v>
      </c>
      <c r="C198" s="9" t="s">
        <v>61</v>
      </c>
      <c r="D198" s="8">
        <v>-9.9499999999999993</v>
      </c>
      <c r="E198" s="7" t="s">
        <v>23</v>
      </c>
      <c r="F198" s="15" t="s">
        <v>48</v>
      </c>
      <c r="G198" s="15" t="s">
        <v>25</v>
      </c>
      <c r="H198" s="16"/>
      <c r="I198" s="15" t="s">
        <v>26</v>
      </c>
      <c r="J198" s="17">
        <v>1</v>
      </c>
      <c r="K198" s="15" t="s">
        <v>27</v>
      </c>
      <c r="L198" s="21">
        <f t="shared" si="6"/>
        <v>0</v>
      </c>
      <c r="M198" s="21">
        <f t="shared" si="7"/>
        <v>9.9499999999999993</v>
      </c>
      <c r="N198" s="15" t="s">
        <v>28</v>
      </c>
      <c r="O198" s="15" t="s">
        <v>29</v>
      </c>
      <c r="P198" s="15"/>
      <c r="Q198" s="15"/>
      <c r="R198" s="15" t="s">
        <v>145</v>
      </c>
      <c r="S198" s="16"/>
      <c r="T198" s="15" t="s">
        <v>154</v>
      </c>
      <c r="U198" s="8">
        <v>5934.59</v>
      </c>
    </row>
    <row r="199" spans="1:21">
      <c r="A199" s="6">
        <v>46199</v>
      </c>
      <c r="B199" s="7" t="s">
        <v>46</v>
      </c>
      <c r="C199" s="9" t="s">
        <v>203</v>
      </c>
      <c r="D199" s="8">
        <v>-0.8</v>
      </c>
      <c r="E199" s="7" t="s">
        <v>23</v>
      </c>
      <c r="F199" s="15" t="s">
        <v>48</v>
      </c>
      <c r="G199" s="15" t="s">
        <v>25</v>
      </c>
      <c r="H199" s="16"/>
      <c r="I199" s="15" t="s">
        <v>26</v>
      </c>
      <c r="J199" s="17">
        <v>1</v>
      </c>
      <c r="K199" s="15" t="s">
        <v>27</v>
      </c>
      <c r="L199" s="21">
        <f t="shared" si="6"/>
        <v>0</v>
      </c>
      <c r="M199" s="21">
        <f t="shared" si="7"/>
        <v>0.8</v>
      </c>
      <c r="N199" s="15" t="s">
        <v>28</v>
      </c>
      <c r="O199" s="15" t="s">
        <v>29</v>
      </c>
      <c r="P199" s="15"/>
      <c r="Q199" s="15"/>
      <c r="R199" s="15" t="s">
        <v>145</v>
      </c>
      <c r="S199" s="16"/>
      <c r="T199" s="15" t="s">
        <v>154</v>
      </c>
      <c r="U199" s="8">
        <v>5944.54</v>
      </c>
    </row>
    <row r="200" spans="1:21">
      <c r="A200" s="6">
        <v>46199</v>
      </c>
      <c r="B200" s="7" t="s">
        <v>32</v>
      </c>
      <c r="C200" s="9" t="s">
        <v>204</v>
      </c>
      <c r="D200" s="8">
        <v>80</v>
      </c>
      <c r="E200" s="7" t="s">
        <v>34</v>
      </c>
      <c r="F200" s="15" t="s">
        <v>24</v>
      </c>
      <c r="G200" s="15" t="s">
        <v>35</v>
      </c>
      <c r="H200" s="16"/>
      <c r="I200" s="15" t="s">
        <v>26</v>
      </c>
      <c r="J200" s="17">
        <v>1</v>
      </c>
      <c r="K200" s="15" t="s">
        <v>27</v>
      </c>
      <c r="L200" s="21">
        <f t="shared" si="6"/>
        <v>80</v>
      </c>
      <c r="M200" s="21">
        <f t="shared" si="7"/>
        <v>0</v>
      </c>
      <c r="N200" s="15" t="s">
        <v>28</v>
      </c>
      <c r="O200" s="15" t="s">
        <v>159</v>
      </c>
      <c r="P200" s="15"/>
      <c r="Q200" s="15"/>
      <c r="R200" s="15" t="s">
        <v>145</v>
      </c>
      <c r="S200" s="16"/>
      <c r="T200" s="15" t="s">
        <v>154</v>
      </c>
      <c r="U200" s="8">
        <v>5945.34</v>
      </c>
    </row>
    <row r="201" spans="1:21">
      <c r="A201" s="6">
        <v>46199</v>
      </c>
      <c r="B201" s="7" t="s">
        <v>32</v>
      </c>
      <c r="C201" s="9" t="s">
        <v>205</v>
      </c>
      <c r="D201" s="8">
        <v>120</v>
      </c>
      <c r="E201" s="7" t="s">
        <v>34</v>
      </c>
      <c r="F201" s="15" t="s">
        <v>24</v>
      </c>
      <c r="G201" s="15" t="s">
        <v>35</v>
      </c>
      <c r="H201" s="16"/>
      <c r="I201" s="15" t="s">
        <v>26</v>
      </c>
      <c r="J201" s="17">
        <v>1</v>
      </c>
      <c r="K201" s="15" t="s">
        <v>27</v>
      </c>
      <c r="L201" s="21">
        <f t="shared" si="6"/>
        <v>120</v>
      </c>
      <c r="M201" s="21">
        <f t="shared" si="7"/>
        <v>0</v>
      </c>
      <c r="N201" s="15" t="s">
        <v>28</v>
      </c>
      <c r="O201" s="15" t="s">
        <v>159</v>
      </c>
      <c r="P201" s="15"/>
      <c r="Q201" s="15"/>
      <c r="R201" s="15" t="s">
        <v>145</v>
      </c>
      <c r="S201" s="16"/>
      <c r="T201" s="15" t="s">
        <v>154</v>
      </c>
      <c r="U201" s="8">
        <v>5865.34</v>
      </c>
    </row>
    <row r="202" spans="1:21">
      <c r="A202" s="6">
        <v>46200</v>
      </c>
      <c r="B202" s="7" t="s">
        <v>32</v>
      </c>
      <c r="C202" s="9" t="s">
        <v>166</v>
      </c>
      <c r="D202" s="8">
        <v>1680</v>
      </c>
      <c r="E202" s="7" t="s">
        <v>34</v>
      </c>
      <c r="F202" s="15" t="s">
        <v>24</v>
      </c>
      <c r="G202" s="15" t="s">
        <v>167</v>
      </c>
      <c r="H202" s="16"/>
      <c r="I202" s="15" t="s">
        <v>26</v>
      </c>
      <c r="J202" s="17">
        <v>1</v>
      </c>
      <c r="K202" s="15" t="s">
        <v>27</v>
      </c>
      <c r="L202" s="21">
        <f t="shared" si="6"/>
        <v>1680</v>
      </c>
      <c r="M202" s="21">
        <f t="shared" si="7"/>
        <v>0</v>
      </c>
      <c r="N202" s="15" t="s">
        <v>28</v>
      </c>
      <c r="O202" s="15" t="s">
        <v>159</v>
      </c>
      <c r="P202" s="15"/>
      <c r="Q202" s="15"/>
      <c r="R202" s="15" t="s">
        <v>145</v>
      </c>
      <c r="S202" s="16"/>
      <c r="T202" s="15" t="s">
        <v>154</v>
      </c>
      <c r="U202" s="8">
        <v>7614.59</v>
      </c>
    </row>
    <row r="203" spans="1:21">
      <c r="A203" s="6">
        <v>46202</v>
      </c>
      <c r="B203" s="7" t="s">
        <v>46</v>
      </c>
      <c r="C203" s="9" t="s">
        <v>180</v>
      </c>
      <c r="D203" s="8">
        <v>-43.25</v>
      </c>
      <c r="E203" s="7" t="s">
        <v>23</v>
      </c>
      <c r="F203" s="15" t="s">
        <v>48</v>
      </c>
      <c r="G203" s="15" t="s">
        <v>144</v>
      </c>
      <c r="H203" s="16"/>
      <c r="I203" s="15" t="s">
        <v>26</v>
      </c>
      <c r="J203" s="17">
        <v>1</v>
      </c>
      <c r="K203" s="15" t="s">
        <v>27</v>
      </c>
      <c r="L203" s="21">
        <f t="shared" si="6"/>
        <v>0</v>
      </c>
      <c r="M203" s="21">
        <f t="shared" si="7"/>
        <v>43.25</v>
      </c>
      <c r="N203" s="15" t="s">
        <v>28</v>
      </c>
      <c r="O203" s="15" t="s">
        <v>29</v>
      </c>
      <c r="P203" s="15"/>
      <c r="Q203" s="15"/>
      <c r="R203" s="15" t="s">
        <v>145</v>
      </c>
      <c r="S203" s="16"/>
      <c r="T203" s="15" t="s">
        <v>154</v>
      </c>
      <c r="U203" s="8">
        <v>5271.34</v>
      </c>
    </row>
    <row r="204" spans="1:21" ht="25.5">
      <c r="A204" s="6">
        <v>46202</v>
      </c>
      <c r="B204" s="7" t="s">
        <v>21</v>
      </c>
      <c r="C204" s="9" t="s">
        <v>22</v>
      </c>
      <c r="D204" s="8">
        <v>-2300</v>
      </c>
      <c r="E204" s="7" t="s">
        <v>23</v>
      </c>
      <c r="F204" s="15" t="s">
        <v>24</v>
      </c>
      <c r="G204" s="15" t="s">
        <v>99</v>
      </c>
      <c r="H204" s="16"/>
      <c r="I204" s="15" t="s">
        <v>100</v>
      </c>
      <c r="J204" s="17">
        <v>0</v>
      </c>
      <c r="K204" s="15" t="s">
        <v>44</v>
      </c>
      <c r="L204" s="21">
        <f t="shared" si="6"/>
        <v>0</v>
      </c>
      <c r="M204" s="21">
        <f t="shared" si="7"/>
        <v>0</v>
      </c>
      <c r="N204" s="15" t="s">
        <v>28</v>
      </c>
      <c r="O204" s="15" t="s">
        <v>159</v>
      </c>
      <c r="P204" s="15"/>
      <c r="Q204" s="15"/>
      <c r="R204" s="15" t="s">
        <v>145</v>
      </c>
      <c r="S204" s="16" t="s">
        <v>170</v>
      </c>
      <c r="T204" s="15" t="s">
        <v>154</v>
      </c>
      <c r="U204" s="8">
        <v>5314.59</v>
      </c>
    </row>
    <row r="205" spans="1:21" ht="25.5">
      <c r="A205" s="6">
        <v>46203</v>
      </c>
      <c r="B205" s="7" t="s">
        <v>57</v>
      </c>
      <c r="C205" s="9" t="s">
        <v>206</v>
      </c>
      <c r="D205" s="8">
        <v>-15.76</v>
      </c>
      <c r="E205" s="7" t="s">
        <v>23</v>
      </c>
      <c r="F205" s="15" t="s">
        <v>48</v>
      </c>
      <c r="G205" s="15" t="s">
        <v>55</v>
      </c>
      <c r="H205" s="16"/>
      <c r="I205" s="15" t="s">
        <v>26</v>
      </c>
      <c r="J205" s="17">
        <v>1</v>
      </c>
      <c r="K205" s="15" t="s">
        <v>27</v>
      </c>
      <c r="L205" s="21">
        <f t="shared" si="6"/>
        <v>0</v>
      </c>
      <c r="M205" s="21">
        <f t="shared" si="7"/>
        <v>15.76</v>
      </c>
      <c r="N205" s="15" t="s">
        <v>28</v>
      </c>
      <c r="O205" s="15" t="s">
        <v>29</v>
      </c>
      <c r="P205" s="15"/>
      <c r="Q205" s="15"/>
      <c r="R205" s="15" t="s">
        <v>145</v>
      </c>
      <c r="S205" s="16"/>
      <c r="T205" s="15" t="s">
        <v>154</v>
      </c>
      <c r="U205" s="8">
        <v>5512.63</v>
      </c>
    </row>
    <row r="206" spans="1:21">
      <c r="A206" s="6">
        <v>46203</v>
      </c>
      <c r="B206" s="7" t="s">
        <v>32</v>
      </c>
      <c r="C206" s="9" t="s">
        <v>207</v>
      </c>
      <c r="D206" s="8">
        <v>261</v>
      </c>
      <c r="E206" s="7" t="s">
        <v>34</v>
      </c>
      <c r="F206" s="15" t="s">
        <v>24</v>
      </c>
      <c r="G206" s="15" t="s">
        <v>35</v>
      </c>
      <c r="H206" s="16"/>
      <c r="I206" s="15" t="s">
        <v>26</v>
      </c>
      <c r="J206" s="17">
        <v>1</v>
      </c>
      <c r="K206" s="15" t="s">
        <v>27</v>
      </c>
      <c r="L206" s="21">
        <f t="shared" si="6"/>
        <v>261</v>
      </c>
      <c r="M206" s="21">
        <f t="shared" si="7"/>
        <v>0</v>
      </c>
      <c r="N206" s="15" t="s">
        <v>28</v>
      </c>
      <c r="O206" s="15" t="s">
        <v>159</v>
      </c>
      <c r="P206" s="15"/>
      <c r="Q206" s="15"/>
      <c r="R206" s="15" t="s">
        <v>145</v>
      </c>
      <c r="S206" s="16"/>
      <c r="T206" s="15" t="s">
        <v>154</v>
      </c>
      <c r="U206" s="8">
        <v>5528.39</v>
      </c>
    </row>
    <row r="207" spans="1:21">
      <c r="A207" s="6">
        <v>46203</v>
      </c>
      <c r="B207" s="7" t="s">
        <v>46</v>
      </c>
      <c r="C207" s="9" t="s">
        <v>61</v>
      </c>
      <c r="D207" s="8">
        <v>-3.95</v>
      </c>
      <c r="E207" s="7" t="s">
        <v>23</v>
      </c>
      <c r="F207" s="15" t="s">
        <v>48</v>
      </c>
      <c r="G207" s="15" t="s">
        <v>25</v>
      </c>
      <c r="H207" s="16"/>
      <c r="I207" s="15" t="s">
        <v>26</v>
      </c>
      <c r="J207" s="17">
        <v>1</v>
      </c>
      <c r="K207" s="15" t="s">
        <v>27</v>
      </c>
      <c r="L207" s="21">
        <f t="shared" si="6"/>
        <v>0</v>
      </c>
      <c r="M207" s="21">
        <f t="shared" si="7"/>
        <v>3.95</v>
      </c>
      <c r="N207" s="15" t="s">
        <v>28</v>
      </c>
      <c r="O207" s="15" t="s">
        <v>29</v>
      </c>
      <c r="P207" s="15"/>
      <c r="Q207" s="15"/>
      <c r="R207" s="15" t="s">
        <v>145</v>
      </c>
      <c r="S207" s="16"/>
      <c r="T207" s="15" t="s">
        <v>154</v>
      </c>
      <c r="U207" s="8">
        <v>5267.39</v>
      </c>
    </row>
    <row r="208" spans="1:21">
      <c r="A208" s="6">
        <v>46204</v>
      </c>
      <c r="B208" s="7" t="s">
        <v>57</v>
      </c>
      <c r="C208" s="9" t="s">
        <v>101</v>
      </c>
      <c r="D208" s="8">
        <v>-225.99</v>
      </c>
      <c r="E208" s="7" t="s">
        <v>23</v>
      </c>
      <c r="F208" s="15" t="s">
        <v>48</v>
      </c>
      <c r="G208" s="15" t="s">
        <v>72</v>
      </c>
      <c r="H208" s="16"/>
      <c r="I208" s="15" t="s">
        <v>26</v>
      </c>
      <c r="J208" s="17">
        <v>1</v>
      </c>
      <c r="K208" s="15" t="s">
        <v>27</v>
      </c>
      <c r="L208" s="21">
        <f t="shared" si="6"/>
        <v>0</v>
      </c>
      <c r="M208" s="21">
        <f t="shared" si="7"/>
        <v>225.99</v>
      </c>
      <c r="N208" s="15" t="s">
        <v>28</v>
      </c>
      <c r="O208" s="15" t="s">
        <v>29</v>
      </c>
      <c r="P208" s="15"/>
      <c r="Q208" s="15"/>
      <c r="R208" s="15" t="s">
        <v>145</v>
      </c>
      <c r="S208" s="16"/>
      <c r="T208" s="15" t="s">
        <v>154</v>
      </c>
      <c r="U208" s="8">
        <v>5286.64</v>
      </c>
    </row>
    <row r="209" spans="1:21">
      <c r="A209" s="6">
        <v>46205</v>
      </c>
      <c r="B209" s="7" t="s">
        <v>46</v>
      </c>
      <c r="C209" s="9" t="s">
        <v>61</v>
      </c>
      <c r="D209" s="8">
        <v>-10.95</v>
      </c>
      <c r="E209" s="7" t="s">
        <v>23</v>
      </c>
      <c r="F209" s="15" t="s">
        <v>48</v>
      </c>
      <c r="G209" s="15" t="s">
        <v>25</v>
      </c>
      <c r="H209" s="16"/>
      <c r="I209" s="15" t="s">
        <v>26</v>
      </c>
      <c r="J209" s="17">
        <v>1</v>
      </c>
      <c r="K209" s="15" t="s">
        <v>27</v>
      </c>
      <c r="L209" s="21">
        <f t="shared" si="6"/>
        <v>0</v>
      </c>
      <c r="M209" s="21">
        <f t="shared" si="7"/>
        <v>10.95</v>
      </c>
      <c r="N209" s="15" t="s">
        <v>28</v>
      </c>
      <c r="O209" s="15" t="s">
        <v>29</v>
      </c>
      <c r="P209" s="15"/>
      <c r="Q209" s="15"/>
      <c r="R209" s="15" t="s">
        <v>145</v>
      </c>
      <c r="S209" s="16"/>
      <c r="T209" s="15" t="s">
        <v>154</v>
      </c>
      <c r="U209" s="8">
        <v>5353.84</v>
      </c>
    </row>
    <row r="210" spans="1:21">
      <c r="A210" s="6">
        <v>46205</v>
      </c>
      <c r="B210" s="7" t="s">
        <v>32</v>
      </c>
      <c r="C210" s="9" t="s">
        <v>51</v>
      </c>
      <c r="D210" s="8">
        <v>78.150000000000006</v>
      </c>
      <c r="E210" s="7" t="s">
        <v>34</v>
      </c>
      <c r="F210" s="15" t="s">
        <v>24</v>
      </c>
      <c r="G210" s="15" t="s">
        <v>52</v>
      </c>
      <c r="H210" s="16"/>
      <c r="I210" s="15" t="s">
        <v>26</v>
      </c>
      <c r="J210" s="17">
        <v>1</v>
      </c>
      <c r="K210" s="15" t="s">
        <v>27</v>
      </c>
      <c r="L210" s="21">
        <f t="shared" si="6"/>
        <v>78.150000000000006</v>
      </c>
      <c r="M210" s="21">
        <f t="shared" si="7"/>
        <v>0</v>
      </c>
      <c r="N210" s="15" t="s">
        <v>28</v>
      </c>
      <c r="O210" s="15" t="s">
        <v>159</v>
      </c>
      <c r="P210" s="15"/>
      <c r="Q210" s="15"/>
      <c r="R210" s="15" t="s">
        <v>145</v>
      </c>
      <c r="S210" s="16"/>
      <c r="T210" s="15" t="s">
        <v>154</v>
      </c>
      <c r="U210" s="8">
        <v>5364.79</v>
      </c>
    </row>
    <row r="211" spans="1:21">
      <c r="A211" s="6">
        <v>46209</v>
      </c>
      <c r="B211" s="7" t="s">
        <v>46</v>
      </c>
      <c r="C211" s="9" t="s">
        <v>150</v>
      </c>
      <c r="D211" s="8">
        <v>-47.72</v>
      </c>
      <c r="E211" s="7" t="s">
        <v>23</v>
      </c>
      <c r="F211" s="15" t="s">
        <v>48</v>
      </c>
      <c r="G211" s="15" t="s">
        <v>144</v>
      </c>
      <c r="H211" s="16"/>
      <c r="I211" s="15" t="s">
        <v>26</v>
      </c>
      <c r="J211" s="17">
        <v>1</v>
      </c>
      <c r="K211" s="15" t="s">
        <v>27</v>
      </c>
      <c r="L211" s="21">
        <f t="shared" si="6"/>
        <v>0</v>
      </c>
      <c r="M211" s="21">
        <f t="shared" si="7"/>
        <v>47.72</v>
      </c>
      <c r="N211" s="15" t="s">
        <v>28</v>
      </c>
      <c r="O211" s="15" t="s">
        <v>29</v>
      </c>
      <c r="P211" s="15"/>
      <c r="Q211" s="15"/>
      <c r="R211" s="15" t="s">
        <v>208</v>
      </c>
      <c r="S211" s="16"/>
      <c r="T211" s="15" t="s">
        <v>154</v>
      </c>
      <c r="U211" s="8">
        <v>5306.12</v>
      </c>
    </row>
    <row r="212" spans="1:21" ht="38.25">
      <c r="A212" s="6">
        <v>46210</v>
      </c>
      <c r="B212" s="7" t="s">
        <v>21</v>
      </c>
      <c r="C212" s="9" t="s">
        <v>209</v>
      </c>
      <c r="D212" s="8">
        <v>-300</v>
      </c>
      <c r="E212" s="7" t="s">
        <v>23</v>
      </c>
      <c r="F212" s="15" t="s">
        <v>24</v>
      </c>
      <c r="G212" s="15" t="s">
        <v>72</v>
      </c>
      <c r="H212" s="16"/>
      <c r="I212" s="15" t="s">
        <v>26</v>
      </c>
      <c r="J212" s="17">
        <v>1</v>
      </c>
      <c r="K212" s="15" t="s">
        <v>27</v>
      </c>
      <c r="L212" s="21">
        <f t="shared" si="6"/>
        <v>0</v>
      </c>
      <c r="M212" s="21">
        <f t="shared" si="7"/>
        <v>300</v>
      </c>
      <c r="N212" s="15" t="s">
        <v>28</v>
      </c>
      <c r="O212" s="15" t="s">
        <v>29</v>
      </c>
      <c r="P212" s="15"/>
      <c r="Q212" s="15"/>
      <c r="R212" s="15" t="s">
        <v>208</v>
      </c>
      <c r="S212" s="16" t="s">
        <v>210</v>
      </c>
      <c r="T212" s="15" t="s">
        <v>154</v>
      </c>
      <c r="U212" s="8">
        <v>5176.12</v>
      </c>
    </row>
    <row r="213" spans="1:21">
      <c r="A213" s="6">
        <v>46210</v>
      </c>
      <c r="B213" s="7" t="s">
        <v>32</v>
      </c>
      <c r="C213" s="9" t="s">
        <v>211</v>
      </c>
      <c r="D213" s="8">
        <v>170</v>
      </c>
      <c r="E213" s="7" t="s">
        <v>34</v>
      </c>
      <c r="F213" s="15" t="s">
        <v>24</v>
      </c>
      <c r="G213" s="15" t="s">
        <v>35</v>
      </c>
      <c r="H213" s="16"/>
      <c r="I213" s="15" t="s">
        <v>26</v>
      </c>
      <c r="J213" s="17">
        <v>1</v>
      </c>
      <c r="K213" s="15" t="s">
        <v>27</v>
      </c>
      <c r="L213" s="21">
        <f t="shared" si="6"/>
        <v>170</v>
      </c>
      <c r="M213" s="21">
        <f t="shared" si="7"/>
        <v>0</v>
      </c>
      <c r="N213" s="15" t="s">
        <v>28</v>
      </c>
      <c r="O213" s="15" t="s">
        <v>159</v>
      </c>
      <c r="P213" s="15"/>
      <c r="Q213" s="15"/>
      <c r="R213" s="15" t="s">
        <v>208</v>
      </c>
      <c r="S213" s="16"/>
      <c r="T213" s="15" t="s">
        <v>154</v>
      </c>
      <c r="U213" s="8">
        <v>5476.12</v>
      </c>
    </row>
    <row r="214" spans="1:21" ht="25.5">
      <c r="A214" s="6">
        <v>46212</v>
      </c>
      <c r="B214" s="7" t="s">
        <v>57</v>
      </c>
      <c r="C214" s="9" t="s">
        <v>212</v>
      </c>
      <c r="D214" s="8">
        <v>-99</v>
      </c>
      <c r="E214" s="7" t="s">
        <v>23</v>
      </c>
      <c r="F214" s="15" t="s">
        <v>48</v>
      </c>
      <c r="G214" s="15" t="s">
        <v>175</v>
      </c>
      <c r="H214" s="16"/>
      <c r="I214" s="15" t="s">
        <v>176</v>
      </c>
      <c r="J214" s="17">
        <v>0</v>
      </c>
      <c r="K214" s="15" t="s">
        <v>44</v>
      </c>
      <c r="L214" s="21">
        <f t="shared" si="6"/>
        <v>0</v>
      </c>
      <c r="M214" s="21">
        <f t="shared" si="7"/>
        <v>0</v>
      </c>
      <c r="N214" s="15" t="s">
        <v>28</v>
      </c>
      <c r="O214" s="15" t="s">
        <v>159</v>
      </c>
      <c r="P214" s="15"/>
      <c r="Q214" s="15"/>
      <c r="R214" s="15" t="s">
        <v>208</v>
      </c>
      <c r="S214" s="16" t="s">
        <v>177</v>
      </c>
      <c r="T214" s="15" t="s">
        <v>154</v>
      </c>
      <c r="U214" s="8">
        <v>4916.95</v>
      </c>
    </row>
    <row r="215" spans="1:21" ht="25.5">
      <c r="A215" s="6">
        <v>46212</v>
      </c>
      <c r="B215" s="7" t="s">
        <v>57</v>
      </c>
      <c r="C215" s="9" t="s">
        <v>213</v>
      </c>
      <c r="D215" s="8">
        <v>-160.16999999999999</v>
      </c>
      <c r="E215" s="7" t="s">
        <v>23</v>
      </c>
      <c r="F215" s="15" t="s">
        <v>48</v>
      </c>
      <c r="G215" s="15" t="s">
        <v>175</v>
      </c>
      <c r="H215" s="16"/>
      <c r="I215" s="15" t="s">
        <v>176</v>
      </c>
      <c r="J215" s="17">
        <v>0</v>
      </c>
      <c r="K215" s="15" t="s">
        <v>44</v>
      </c>
      <c r="L215" s="21">
        <f t="shared" si="6"/>
        <v>0</v>
      </c>
      <c r="M215" s="21">
        <f t="shared" si="7"/>
        <v>0</v>
      </c>
      <c r="N215" s="15" t="s">
        <v>28</v>
      </c>
      <c r="O215" s="15" t="s">
        <v>159</v>
      </c>
      <c r="P215" s="15"/>
      <c r="Q215" s="15"/>
      <c r="R215" s="15" t="s">
        <v>208</v>
      </c>
      <c r="S215" s="16" t="s">
        <v>177</v>
      </c>
      <c r="T215" s="15" t="s">
        <v>154</v>
      </c>
      <c r="U215" s="8">
        <v>5015.95</v>
      </c>
    </row>
    <row r="216" spans="1:21" ht="25.5">
      <c r="A216" s="6">
        <v>46213</v>
      </c>
      <c r="B216" s="7" t="s">
        <v>57</v>
      </c>
      <c r="C216" s="9" t="s">
        <v>214</v>
      </c>
      <c r="D216" s="8">
        <v>-434.99</v>
      </c>
      <c r="E216" s="7" t="s">
        <v>23</v>
      </c>
      <c r="F216" s="15" t="s">
        <v>48</v>
      </c>
      <c r="G216" s="15" t="s">
        <v>72</v>
      </c>
      <c r="H216" s="16"/>
      <c r="I216" s="15" t="s">
        <v>26</v>
      </c>
      <c r="J216" s="17">
        <v>1</v>
      </c>
      <c r="K216" s="15" t="s">
        <v>27</v>
      </c>
      <c r="L216" s="21">
        <f t="shared" si="6"/>
        <v>0</v>
      </c>
      <c r="M216" s="21">
        <f t="shared" si="7"/>
        <v>434.99</v>
      </c>
      <c r="N216" s="15" t="s">
        <v>28</v>
      </c>
      <c r="O216" s="15" t="s">
        <v>29</v>
      </c>
      <c r="P216" s="15"/>
      <c r="Q216" s="15"/>
      <c r="R216" s="15" t="s">
        <v>208</v>
      </c>
      <c r="S216" s="16"/>
      <c r="T216" s="15" t="s">
        <v>154</v>
      </c>
      <c r="U216" s="8">
        <v>6911.96</v>
      </c>
    </row>
    <row r="217" spans="1:21">
      <c r="A217" s="6">
        <v>46213</v>
      </c>
      <c r="B217" s="7" t="s">
        <v>57</v>
      </c>
      <c r="C217" s="9" t="s">
        <v>215</v>
      </c>
      <c r="D217" s="8">
        <v>-60</v>
      </c>
      <c r="E217" s="7" t="s">
        <v>23</v>
      </c>
      <c r="F217" s="15" t="s">
        <v>48</v>
      </c>
      <c r="G217" s="15" t="s">
        <v>63</v>
      </c>
      <c r="H217" s="16"/>
      <c r="I217" s="15" t="s">
        <v>26</v>
      </c>
      <c r="J217" s="17">
        <v>1</v>
      </c>
      <c r="K217" s="15" t="s">
        <v>27</v>
      </c>
      <c r="L217" s="21">
        <f t="shared" si="6"/>
        <v>0</v>
      </c>
      <c r="M217" s="21">
        <f t="shared" si="7"/>
        <v>60</v>
      </c>
      <c r="N217" s="15" t="s">
        <v>28</v>
      </c>
      <c r="O217" s="15" t="s">
        <v>29</v>
      </c>
      <c r="P217" s="15"/>
      <c r="Q217" s="15"/>
      <c r="R217" s="15" t="s">
        <v>208</v>
      </c>
      <c r="S217" s="16"/>
      <c r="T217" s="15" t="s">
        <v>154</v>
      </c>
      <c r="U217" s="8">
        <v>7346.95</v>
      </c>
    </row>
    <row r="218" spans="1:21">
      <c r="A218" s="6">
        <v>46213</v>
      </c>
      <c r="B218" s="7" t="s">
        <v>21</v>
      </c>
      <c r="C218" s="9" t="s">
        <v>216</v>
      </c>
      <c r="D218" s="8">
        <v>2490</v>
      </c>
      <c r="E218" s="7" t="s">
        <v>34</v>
      </c>
      <c r="F218" s="15" t="s">
        <v>24</v>
      </c>
      <c r="G218" s="15" t="s">
        <v>91</v>
      </c>
      <c r="H218" s="16"/>
      <c r="I218" s="15" t="s">
        <v>26</v>
      </c>
      <c r="J218" s="17">
        <v>1</v>
      </c>
      <c r="K218" s="15" t="s">
        <v>27</v>
      </c>
      <c r="L218" s="21">
        <f t="shared" si="6"/>
        <v>2490</v>
      </c>
      <c r="M218" s="21">
        <f t="shared" si="7"/>
        <v>0</v>
      </c>
      <c r="N218" s="15" t="s">
        <v>28</v>
      </c>
      <c r="O218" s="15" t="s">
        <v>159</v>
      </c>
      <c r="P218" s="15"/>
      <c r="Q218" s="15"/>
      <c r="R218" s="15" t="s">
        <v>208</v>
      </c>
      <c r="S218" s="16"/>
      <c r="T218" s="15" t="s">
        <v>154</v>
      </c>
      <c r="U218" s="8">
        <v>7406.95</v>
      </c>
    </row>
    <row r="219" spans="1:21">
      <c r="A219" s="6">
        <v>46214</v>
      </c>
      <c r="B219" s="7" t="s">
        <v>32</v>
      </c>
      <c r="C219" s="9" t="s">
        <v>217</v>
      </c>
      <c r="D219" s="8">
        <v>1300</v>
      </c>
      <c r="E219" s="7" t="s">
        <v>34</v>
      </c>
      <c r="F219" s="15" t="s">
        <v>24</v>
      </c>
      <c r="G219" s="15" t="s">
        <v>91</v>
      </c>
      <c r="H219" s="16"/>
      <c r="I219" s="15" t="s">
        <v>26</v>
      </c>
      <c r="J219" s="17">
        <v>1</v>
      </c>
      <c r="K219" s="15" t="s">
        <v>27</v>
      </c>
      <c r="L219" s="21">
        <f t="shared" si="6"/>
        <v>1300</v>
      </c>
      <c r="M219" s="21">
        <f t="shared" si="7"/>
        <v>0</v>
      </c>
      <c r="N219" s="15" t="s">
        <v>28</v>
      </c>
      <c r="O219" s="15" t="s">
        <v>159</v>
      </c>
      <c r="P219" s="15"/>
      <c r="Q219" s="15"/>
      <c r="R219" s="15" t="s">
        <v>208</v>
      </c>
      <c r="S219" s="16"/>
      <c r="T219" s="15" t="s">
        <v>154</v>
      </c>
      <c r="U219" s="8">
        <v>8211.9599999999991</v>
      </c>
    </row>
    <row r="220" spans="1:21">
      <c r="A220" s="6">
        <v>46216</v>
      </c>
      <c r="B220" s="7" t="s">
        <v>57</v>
      </c>
      <c r="C220" s="9" t="s">
        <v>218</v>
      </c>
      <c r="D220" s="8">
        <v>-34.979999999999997</v>
      </c>
      <c r="E220" s="7" t="s">
        <v>23</v>
      </c>
      <c r="F220" s="15" t="s">
        <v>48</v>
      </c>
      <c r="G220" s="15" t="s">
        <v>72</v>
      </c>
      <c r="H220" s="16"/>
      <c r="I220" s="15" t="s">
        <v>26</v>
      </c>
      <c r="J220" s="17">
        <v>1</v>
      </c>
      <c r="K220" s="15" t="s">
        <v>27</v>
      </c>
      <c r="L220" s="21">
        <f t="shared" si="6"/>
        <v>0</v>
      </c>
      <c r="M220" s="21">
        <f t="shared" si="7"/>
        <v>34.979999999999997</v>
      </c>
      <c r="N220" s="15" t="s">
        <v>28</v>
      </c>
      <c r="O220" s="15" t="s">
        <v>29</v>
      </c>
      <c r="P220" s="15"/>
      <c r="Q220" s="15"/>
      <c r="R220" s="15" t="s">
        <v>208</v>
      </c>
      <c r="S220" s="16"/>
      <c r="T220" s="15" t="s">
        <v>154</v>
      </c>
      <c r="U220" s="8">
        <v>10666.98</v>
      </c>
    </row>
    <row r="221" spans="1:21">
      <c r="A221" s="6">
        <v>46216</v>
      </c>
      <c r="B221" s="7" t="s">
        <v>32</v>
      </c>
      <c r="C221" s="9" t="s">
        <v>219</v>
      </c>
      <c r="D221" s="8">
        <v>2490</v>
      </c>
      <c r="E221" s="7" t="s">
        <v>34</v>
      </c>
      <c r="F221" s="15" t="s">
        <v>24</v>
      </c>
      <c r="G221" s="15" t="s">
        <v>91</v>
      </c>
      <c r="H221" s="16"/>
      <c r="I221" s="15" t="s">
        <v>26</v>
      </c>
      <c r="J221" s="17">
        <v>1</v>
      </c>
      <c r="K221" s="15" t="s">
        <v>27</v>
      </c>
      <c r="L221" s="21">
        <f t="shared" si="6"/>
        <v>2490</v>
      </c>
      <c r="M221" s="21">
        <f t="shared" si="7"/>
        <v>0</v>
      </c>
      <c r="N221" s="15" t="s">
        <v>28</v>
      </c>
      <c r="O221" s="15" t="s">
        <v>159</v>
      </c>
      <c r="P221" s="15"/>
      <c r="Q221" s="15"/>
      <c r="R221" s="15" t="s">
        <v>208</v>
      </c>
      <c r="S221" s="16"/>
      <c r="T221" s="15" t="s">
        <v>154</v>
      </c>
      <c r="U221" s="8">
        <v>10701.96</v>
      </c>
    </row>
    <row r="222" spans="1:21">
      <c r="A222" s="6">
        <v>46217</v>
      </c>
      <c r="B222" s="7" t="s">
        <v>46</v>
      </c>
      <c r="C222" s="9" t="s">
        <v>220</v>
      </c>
      <c r="D222" s="8">
        <v>-21.58</v>
      </c>
      <c r="E222" s="7" t="s">
        <v>23</v>
      </c>
      <c r="F222" s="15" t="s">
        <v>48</v>
      </c>
      <c r="G222" s="15" t="s">
        <v>72</v>
      </c>
      <c r="H222" s="16"/>
      <c r="I222" s="15" t="s">
        <v>26</v>
      </c>
      <c r="J222" s="17">
        <v>1</v>
      </c>
      <c r="K222" s="15" t="s">
        <v>27</v>
      </c>
      <c r="L222" s="21">
        <f t="shared" si="6"/>
        <v>0</v>
      </c>
      <c r="M222" s="21">
        <f t="shared" si="7"/>
        <v>21.58</v>
      </c>
      <c r="N222" s="15" t="s">
        <v>28</v>
      </c>
      <c r="O222" s="15" t="s">
        <v>29</v>
      </c>
      <c r="P222" s="15"/>
      <c r="Q222" s="15"/>
      <c r="R222" s="15" t="s">
        <v>208</v>
      </c>
      <c r="S222" s="16"/>
      <c r="T222" s="15" t="s">
        <v>154</v>
      </c>
      <c r="U222" s="8">
        <v>10545.76</v>
      </c>
    </row>
    <row r="223" spans="1:21">
      <c r="A223" s="6">
        <v>46217</v>
      </c>
      <c r="B223" s="7" t="s">
        <v>46</v>
      </c>
      <c r="C223" s="9" t="s">
        <v>168</v>
      </c>
      <c r="D223" s="8">
        <v>-88.69</v>
      </c>
      <c r="E223" s="7" t="s">
        <v>23</v>
      </c>
      <c r="F223" s="15" t="s">
        <v>48</v>
      </c>
      <c r="G223" s="15" t="s">
        <v>144</v>
      </c>
      <c r="H223" s="16"/>
      <c r="I223" s="15" t="s">
        <v>26</v>
      </c>
      <c r="J223" s="17">
        <v>1</v>
      </c>
      <c r="K223" s="15" t="s">
        <v>27</v>
      </c>
      <c r="L223" s="21">
        <f t="shared" si="6"/>
        <v>0</v>
      </c>
      <c r="M223" s="21">
        <f t="shared" si="7"/>
        <v>88.69</v>
      </c>
      <c r="N223" s="15" t="s">
        <v>28</v>
      </c>
      <c r="O223" s="15" t="s">
        <v>29</v>
      </c>
      <c r="P223" s="15"/>
      <c r="Q223" s="15"/>
      <c r="R223" s="15" t="s">
        <v>208</v>
      </c>
      <c r="S223" s="16"/>
      <c r="T223" s="15" t="s">
        <v>154</v>
      </c>
      <c r="U223" s="8">
        <v>10567.34</v>
      </c>
    </row>
    <row r="224" spans="1:21">
      <c r="A224" s="6">
        <v>46217</v>
      </c>
      <c r="B224" s="7" t="s">
        <v>46</v>
      </c>
      <c r="C224" s="9" t="s">
        <v>61</v>
      </c>
      <c r="D224" s="8">
        <v>-10.95</v>
      </c>
      <c r="E224" s="7" t="s">
        <v>23</v>
      </c>
      <c r="F224" s="15" t="s">
        <v>48</v>
      </c>
      <c r="G224" s="15" t="s">
        <v>25</v>
      </c>
      <c r="H224" s="16"/>
      <c r="I224" s="15" t="s">
        <v>26</v>
      </c>
      <c r="J224" s="17">
        <v>1</v>
      </c>
      <c r="K224" s="15" t="s">
        <v>27</v>
      </c>
      <c r="L224" s="21">
        <f t="shared" si="6"/>
        <v>0</v>
      </c>
      <c r="M224" s="21">
        <f t="shared" si="7"/>
        <v>10.95</v>
      </c>
      <c r="N224" s="15" t="s">
        <v>28</v>
      </c>
      <c r="O224" s="15" t="s">
        <v>29</v>
      </c>
      <c r="P224" s="15"/>
      <c r="Q224" s="15"/>
      <c r="R224" s="15" t="s">
        <v>208</v>
      </c>
      <c r="S224" s="16"/>
      <c r="T224" s="15" t="s">
        <v>154</v>
      </c>
      <c r="U224" s="8">
        <v>10656.03</v>
      </c>
    </row>
    <row r="225" spans="1:21">
      <c r="A225" s="6">
        <v>46218</v>
      </c>
      <c r="B225" s="7" t="s">
        <v>57</v>
      </c>
      <c r="C225" s="9" t="s">
        <v>221</v>
      </c>
      <c r="D225" s="8">
        <v>-17.98</v>
      </c>
      <c r="E225" s="7" t="s">
        <v>23</v>
      </c>
      <c r="F225" s="15" t="s">
        <v>48</v>
      </c>
      <c r="G225" s="15" t="s">
        <v>72</v>
      </c>
      <c r="H225" s="16"/>
      <c r="I225" s="15" t="s">
        <v>26</v>
      </c>
      <c r="J225" s="17">
        <v>1</v>
      </c>
      <c r="K225" s="15" t="s">
        <v>27</v>
      </c>
      <c r="L225" s="21">
        <f t="shared" si="6"/>
        <v>0</v>
      </c>
      <c r="M225" s="21">
        <f t="shared" si="7"/>
        <v>17.98</v>
      </c>
      <c r="N225" s="15" t="s">
        <v>28</v>
      </c>
      <c r="O225" s="15" t="s">
        <v>29</v>
      </c>
      <c r="P225" s="15"/>
      <c r="Q225" s="15"/>
      <c r="R225" s="15" t="s">
        <v>208</v>
      </c>
      <c r="S225" s="16"/>
      <c r="T225" s="15" t="s">
        <v>154</v>
      </c>
      <c r="U225" s="8">
        <v>10540.93</v>
      </c>
    </row>
    <row r="226" spans="1:21">
      <c r="A226" s="6">
        <v>46218</v>
      </c>
      <c r="B226" s="7" t="s">
        <v>57</v>
      </c>
      <c r="C226" s="9" t="s">
        <v>222</v>
      </c>
      <c r="D226" s="8">
        <v>-114</v>
      </c>
      <c r="E226" s="7" t="s">
        <v>23</v>
      </c>
      <c r="F226" s="15" t="s">
        <v>48</v>
      </c>
      <c r="G226" s="15" t="s">
        <v>72</v>
      </c>
      <c r="H226" s="16"/>
      <c r="I226" s="15" t="s">
        <v>26</v>
      </c>
      <c r="J226" s="17">
        <v>1</v>
      </c>
      <c r="K226" s="15" t="s">
        <v>27</v>
      </c>
      <c r="L226" s="21">
        <f t="shared" si="6"/>
        <v>0</v>
      </c>
      <c r="M226" s="21">
        <f t="shared" si="7"/>
        <v>114</v>
      </c>
      <c r="N226" s="15" t="s">
        <v>28</v>
      </c>
      <c r="O226" s="15" t="s">
        <v>29</v>
      </c>
      <c r="P226" s="15"/>
      <c r="Q226" s="15"/>
      <c r="R226" s="15" t="s">
        <v>208</v>
      </c>
      <c r="S226" s="16"/>
      <c r="T226" s="15" t="s">
        <v>154</v>
      </c>
      <c r="U226" s="8">
        <v>10558.91</v>
      </c>
    </row>
    <row r="227" spans="1:21">
      <c r="A227" s="6">
        <v>46218</v>
      </c>
      <c r="B227" s="7" t="s">
        <v>32</v>
      </c>
      <c r="C227" s="9" t="s">
        <v>51</v>
      </c>
      <c r="D227" s="8">
        <v>127.15</v>
      </c>
      <c r="E227" s="7" t="s">
        <v>34</v>
      </c>
      <c r="F227" s="15" t="s">
        <v>24</v>
      </c>
      <c r="G227" s="15" t="s">
        <v>52</v>
      </c>
      <c r="H227" s="16"/>
      <c r="I227" s="15" t="s">
        <v>26</v>
      </c>
      <c r="J227" s="17">
        <v>1</v>
      </c>
      <c r="K227" s="15" t="s">
        <v>27</v>
      </c>
      <c r="L227" s="21">
        <f t="shared" si="6"/>
        <v>127.15</v>
      </c>
      <c r="M227" s="21">
        <f t="shared" si="7"/>
        <v>0</v>
      </c>
      <c r="N227" s="15" t="s">
        <v>28</v>
      </c>
      <c r="O227" s="15" t="s">
        <v>159</v>
      </c>
      <c r="P227" s="15"/>
      <c r="Q227" s="15"/>
      <c r="R227" s="15" t="s">
        <v>208</v>
      </c>
      <c r="S227" s="16"/>
      <c r="T227" s="15" t="s">
        <v>154</v>
      </c>
      <c r="U227" s="8">
        <v>10672.91</v>
      </c>
    </row>
    <row r="228" spans="1:21">
      <c r="A228" s="6">
        <v>46220</v>
      </c>
      <c r="B228" s="7" t="s">
        <v>46</v>
      </c>
      <c r="C228" s="9" t="s">
        <v>223</v>
      </c>
      <c r="D228" s="8">
        <v>-22</v>
      </c>
      <c r="E228" s="7" t="s">
        <v>23</v>
      </c>
      <c r="F228" s="15" t="s">
        <v>48</v>
      </c>
      <c r="G228" s="15" t="s">
        <v>157</v>
      </c>
      <c r="H228" s="16"/>
      <c r="I228" s="15" t="s">
        <v>26</v>
      </c>
      <c r="J228" s="17">
        <v>1</v>
      </c>
      <c r="K228" s="15" t="s">
        <v>27</v>
      </c>
      <c r="L228" s="21">
        <f t="shared" si="6"/>
        <v>0</v>
      </c>
      <c r="M228" s="21">
        <f t="shared" si="7"/>
        <v>22</v>
      </c>
      <c r="N228" s="15" t="s">
        <v>28</v>
      </c>
      <c r="O228" s="15" t="s">
        <v>29</v>
      </c>
      <c r="P228" s="15"/>
      <c r="Q228" s="15"/>
      <c r="R228" s="15" t="s">
        <v>208</v>
      </c>
      <c r="S228" s="16"/>
      <c r="T228" s="15" t="s">
        <v>154</v>
      </c>
      <c r="U228" s="8">
        <v>10518.93</v>
      </c>
    </row>
  </sheetData>
  <conditionalFormatting sqref="D2:D228">
    <cfRule type="cellIs" dxfId="4" priority="5" operator="lessThan">
      <formula>0</formula>
    </cfRule>
  </conditionalFormatting>
  <conditionalFormatting sqref="G2:G228">
    <cfRule type="expression" dxfId="3" priority="1">
      <formula>G2="Needs Review"</formula>
    </cfRule>
  </conditionalFormatting>
  <conditionalFormatting sqref="I2:I228">
    <cfRule type="expression" dxfId="2" priority="2">
      <formula>I2="Personal"</formula>
    </cfRule>
    <cfRule type="expression" dxfId="1" priority="3">
      <formula>I2="Business"</formula>
    </cfRule>
  </conditionalFormatting>
  <conditionalFormatting sqref="T2:T228">
    <cfRule type="expression" dxfId="0" priority="4">
      <formula>T2="Query for accountant"</formula>
    </cfRule>
  </conditionalFormatting>
  <dataValidations count="1">
    <dataValidation type="decimal" sqref="J2:J228" xr:uid="{00000000-0002-0000-0000-000000000000}">
      <formula1>0</formula1>
      <formula2>1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1000000}">
          <x14:formula1>
            <xm:f>Lists!$A$2:$A$31</xm:f>
          </x14:formula1>
          <xm:sqref>G2:G500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selection sqref="A1:H2"/>
    </sheetView>
  </sheetViews>
  <sheetFormatPr defaultRowHeight="14.25"/>
  <cols>
    <col min="1" max="1" width="37" customWidth="1"/>
    <col min="2" max="2" width="18" customWidth="1"/>
    <col min="3" max="3" width="20" customWidth="1"/>
    <col min="4" max="4" width="25" customWidth="1"/>
    <col min="5" max="5" width="16" customWidth="1"/>
    <col min="6" max="6" width="20" customWidth="1"/>
    <col min="7" max="7" width="31" customWidth="1"/>
    <col min="8" max="9" width="12" customWidth="1"/>
    <col min="10" max="10" width="20" customWidth="1"/>
  </cols>
  <sheetData>
    <row r="1" spans="1:10">
      <c r="A1" s="36" t="s">
        <v>224</v>
      </c>
      <c r="B1" s="36"/>
      <c r="C1" s="36"/>
      <c r="D1" s="36"/>
      <c r="E1" s="36"/>
      <c r="F1" s="36"/>
      <c r="G1" s="36"/>
      <c r="H1" s="36"/>
    </row>
    <row r="2" spans="1:10" ht="20.100000000000001" customHeight="1">
      <c r="A2" s="37" t="s">
        <v>350</v>
      </c>
      <c r="B2" s="37"/>
      <c r="C2" s="37"/>
      <c r="D2" s="37"/>
      <c r="E2" s="37"/>
      <c r="F2" s="36"/>
      <c r="G2" s="36"/>
      <c r="H2" s="36"/>
    </row>
    <row r="4" spans="1:10" ht="15">
      <c r="A4" s="10" t="s">
        <v>225</v>
      </c>
      <c r="B4" s="10" t="s">
        <v>226</v>
      </c>
      <c r="D4" s="10" t="s">
        <v>227</v>
      </c>
      <c r="E4" s="10" t="s">
        <v>228</v>
      </c>
      <c r="G4" s="40" t="s">
        <v>351</v>
      </c>
      <c r="H4" s="40"/>
      <c r="I4" s="40"/>
      <c r="J4" s="40"/>
    </row>
    <row r="5" spans="1:10" ht="15">
      <c r="A5" t="s">
        <v>352</v>
      </c>
      <c r="B5" s="5">
        <f>SUMIFS(Transactions!$L$2:$L$228,Transactions!$A$2:$A$228,"&gt;="&amp;DATE(2026,4,6),Transactions!$A$2:$A$228,"&lt;="&amp;DATE(2027,4,5))</f>
        <v>21997.920000000002</v>
      </c>
      <c r="D5" t="s">
        <v>229</v>
      </c>
      <c r="E5">
        <f>COUNTIFS(Transactions!$G$2:$G$228,"Needs Review",Transactions!$A$2:$A$228,"&gt;="&amp;DATE(2026,4,6),Transactions!$A$2:$A$228,"&lt;="&amp;DATE(2027,4,5))</f>
        <v>0</v>
      </c>
      <c r="G5" s="28" t="s">
        <v>353</v>
      </c>
      <c r="H5" s="28"/>
      <c r="I5" s="28"/>
      <c r="J5" s="29">
        <f>MAX(Transactions!A2:A228)</f>
        <v>46220</v>
      </c>
    </row>
    <row r="6" spans="1:10" ht="15">
      <c r="A6" t="s">
        <v>354</v>
      </c>
      <c r="B6" s="5">
        <f>SUMIFS(Transactions!$M$2:$M$228,Transactions!$A$2:$A$228,"&gt;="&amp;DATE(2026,4,6),Transactions!$A$2:$A$228,"&lt;="&amp;DATE(2027,4,5))</f>
        <v>11010.570000000005</v>
      </c>
      <c r="D6" t="s">
        <v>230</v>
      </c>
      <c r="E6">
        <f>COUNTIFS(Transactions!$I$2:$I$228,"Personal",Transactions!$A$2:$A$228,"&gt;="&amp;DATE(2026,4,6),Transactions!$A$2:$A$228,"&lt;="&amp;DATE(2027,4,5))+COUNTIFS(Transactions!$I$2:$I$228,"Exclude",Transactions!$A$2:$A$228,"&gt;="&amp;DATE(2026,4,6),Transactions!$A$2:$A$228,"&lt;="&amp;DATE(2027,4,5))</f>
        <v>6</v>
      </c>
      <c r="G6" s="27" t="s">
        <v>355</v>
      </c>
      <c r="H6" s="27"/>
      <c r="I6" s="27"/>
      <c r="J6" s="26">
        <f>MAX(J5-DATE(2026,4,6)+1,1)</f>
        <v>103</v>
      </c>
    </row>
    <row r="7" spans="1:10" ht="15">
      <c r="A7" t="s">
        <v>356</v>
      </c>
      <c r="B7" s="5">
        <f>MAX(B5-B6,0)</f>
        <v>10987.349999999997</v>
      </c>
      <c r="D7" t="s">
        <v>231</v>
      </c>
      <c r="E7">
        <f>COUNTIFS(Transactions!$O$2:$O$228,"To find",Transactions!$A$2:$A$228,"&gt;="&amp;DATE(2026,4,6),Transactions!$A$2:$A$228,"&lt;="&amp;DATE(2027,4,5))</f>
        <v>71</v>
      </c>
      <c r="G7" s="27" t="s">
        <v>356</v>
      </c>
      <c r="H7" s="27"/>
      <c r="I7" s="27"/>
      <c r="J7" s="5">
        <f>B7</f>
        <v>10987.349999999997</v>
      </c>
    </row>
    <row r="8" spans="1:10" ht="15">
      <c r="A8" t="s">
        <v>357</v>
      </c>
      <c r="B8" s="5">
        <f>MAX(MIN(B7,Lists!$L$3)-Lists!$L$2,0)*Lists!$L$4+MAX(B7-Lists!$L$3,0)*Lists!$L$5</f>
        <v>0</v>
      </c>
      <c r="D8" t="s">
        <v>232</v>
      </c>
      <c r="E8">
        <f>COUNTIFS(Transactions!$T$2:$T$228,"Query for accountant",Transactions!$A$2:$A$228,"&gt;="&amp;DATE(2026,4,6),Transactions!$A$2:$A$228,"&lt;="&amp;DATE(2027,4,5))</f>
        <v>0</v>
      </c>
      <c r="G8" s="27" t="s">
        <v>358</v>
      </c>
      <c r="H8" s="27"/>
      <c r="I8" s="27"/>
      <c r="J8" s="5">
        <f>IF(J6&gt;0,J7/J6*365,0)</f>
        <v>38935.754854368919</v>
      </c>
    </row>
    <row r="9" spans="1:10" ht="15">
      <c r="A9" t="s">
        <v>359</v>
      </c>
      <c r="B9" s="5">
        <f>MAX(MIN(B7,Lists!$L$3)-Lists!$L$2,0)*Lists!$L$6+MAX(B7-Lists!$L$3,0)*Lists!$L$7</f>
        <v>0</v>
      </c>
      <c r="D9" t="s">
        <v>360</v>
      </c>
      <c r="E9">
        <f>COUNTIFS(Transactions!$A$2:$A$228,"&gt;="&amp;DATE(2026,4,6),Transactions!$A$2:$A$228,"&lt;="&amp;DATE(2027,4,5))</f>
        <v>116</v>
      </c>
      <c r="G9" s="27" t="s">
        <v>361</v>
      </c>
      <c r="H9" s="27"/>
      <c r="I9" s="27"/>
      <c r="J9" s="5">
        <f>MAX(MIN(J8,Lists!$L$3)-Lists!$L$2,0)*Lists!$L$4+MAX(J8-Lists!$L$3,0)*Lists!$L$5</f>
        <v>5273.150970873784</v>
      </c>
    </row>
    <row r="10" spans="1:10" ht="15">
      <c r="A10" t="s">
        <v>362</v>
      </c>
      <c r="B10" s="5">
        <f>B8+B9</f>
        <v>0</v>
      </c>
      <c r="D10" t="s">
        <v>233</v>
      </c>
      <c r="E10" s="5">
        <f>LOOKUP(2,1/(Transactions!U2:U228&lt;&gt;""),Transactions!U2:U228)</f>
        <v>10518.93</v>
      </c>
      <c r="G10" s="27" t="s">
        <v>363</v>
      </c>
      <c r="H10" s="27"/>
      <c r="I10" s="27"/>
      <c r="J10" s="5">
        <f>MAX(MIN(J8,Lists!$L$3)-Lists!$L$2,0)*Lists!$L$6+MAX(J8-Lists!$L$3,0)*Lists!$L$7</f>
        <v>1581.945291262135</v>
      </c>
    </row>
    <row r="11" spans="1:10" ht="15">
      <c r="G11" s="30" t="s">
        <v>364</v>
      </c>
      <c r="H11" s="30"/>
      <c r="I11" s="30"/>
      <c r="J11" s="31">
        <f>J9+J10</f>
        <v>6855.0962621359195</v>
      </c>
    </row>
    <row r="13" spans="1:10" ht="24" customHeight="1">
      <c r="A13" s="38" t="s">
        <v>234</v>
      </c>
      <c r="B13" s="38"/>
      <c r="C13" s="38"/>
      <c r="D13" s="38"/>
      <c r="E13" s="38"/>
      <c r="F13" s="38"/>
      <c r="G13" s="39" t="s">
        <v>365</v>
      </c>
      <c r="H13" s="39"/>
      <c r="I13" s="25"/>
      <c r="J13" s="25"/>
    </row>
    <row r="14" spans="1:10" ht="24" customHeight="1">
      <c r="A14" s="38"/>
      <c r="B14" s="38"/>
      <c r="C14" s="38"/>
      <c r="D14" s="38"/>
      <c r="E14" s="38"/>
      <c r="F14" s="38"/>
      <c r="G14" s="39"/>
      <c r="H14" s="39"/>
      <c r="I14" s="25"/>
      <c r="J14" s="25"/>
    </row>
    <row r="16" spans="1:10" ht="15">
      <c r="A16" s="10" t="s">
        <v>235</v>
      </c>
      <c r="B16" s="10" t="s">
        <v>236</v>
      </c>
      <c r="C16" s="10" t="s">
        <v>237</v>
      </c>
      <c r="D16" s="10" t="s">
        <v>238</v>
      </c>
    </row>
    <row r="17" spans="1:4">
      <c r="A17" t="s">
        <v>145</v>
      </c>
      <c r="B17" s="5">
        <f>SUMIF(Transactions!R$2:R$228,A17,Transactions!L$2:L$228)</f>
        <v>15420.77</v>
      </c>
      <c r="C17" s="5">
        <f>SUMIF(Transactions!R$2:R$228,A17,Transactions!M$2:M$228)</f>
        <v>9857.6800000000057</v>
      </c>
      <c r="D17" s="5">
        <f>B17-C17</f>
        <v>5563.0899999999947</v>
      </c>
    </row>
    <row r="18" spans="1:4">
      <c r="A18" t="s">
        <v>208</v>
      </c>
      <c r="B18" s="5">
        <f>SUMIF(Transactions!R$2:R$228,A18,Transactions!L$2:L$228)</f>
        <v>6577.15</v>
      </c>
      <c r="C18" s="5">
        <f>SUMIF(Transactions!R$2:R$228,A18,Transactions!M$2:M$228)</f>
        <v>1152.8900000000001</v>
      </c>
      <c r="D18" s="5">
        <f>B18-C18</f>
        <v>5424.2599999999993</v>
      </c>
    </row>
    <row r="19" spans="1:4">
      <c r="A19" t="s">
        <v>239</v>
      </c>
      <c r="B19" s="5">
        <f>SUMIF(Transactions!R$2:R$228,A19,Transactions!L$2:L$228)</f>
        <v>0</v>
      </c>
      <c r="C19" s="5">
        <f>SUMIF(Transactions!R$2:R$228,A19,Transactions!M$2:M$228)</f>
        <v>0</v>
      </c>
      <c r="D19" s="5">
        <f>B19-C19</f>
        <v>0</v>
      </c>
    </row>
    <row r="20" spans="1:4">
      <c r="A20" t="s">
        <v>240</v>
      </c>
      <c r="B20" s="5">
        <f>SUMIF(Transactions!R$2:R$228,A20,Transactions!L$2:L$228)</f>
        <v>0</v>
      </c>
      <c r="C20" s="5">
        <f>SUMIF(Transactions!R$2:R$228,A20,Transactions!M$2:M$228)</f>
        <v>0</v>
      </c>
      <c r="D20" s="5">
        <f>B20-C20</f>
        <v>0</v>
      </c>
    </row>
    <row r="21" spans="1:4" ht="15">
      <c r="A21" s="11" t="s">
        <v>241</v>
      </c>
      <c r="B21" s="12">
        <f>SUM(B17:B20)</f>
        <v>21997.919999999998</v>
      </c>
      <c r="C21" s="12">
        <f>SUM(C17:C20)</f>
        <v>11010.570000000005</v>
      </c>
      <c r="D21" s="12">
        <f>B21-C21</f>
        <v>10987.349999999993</v>
      </c>
    </row>
  </sheetData>
  <mergeCells count="3">
    <mergeCell ref="A1:H2"/>
    <mergeCell ref="A13:H14"/>
    <mergeCell ref="G4:J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sqref="A1:H2"/>
    </sheetView>
  </sheetViews>
  <sheetFormatPr defaultRowHeight="14.25"/>
  <cols>
    <col min="1" max="6" width="22" customWidth="1"/>
    <col min="7" max="7" width="42" customWidth="1"/>
  </cols>
  <sheetData>
    <row r="1" spans="1:8">
      <c r="A1" s="41" t="s">
        <v>242</v>
      </c>
      <c r="B1" s="41"/>
      <c r="C1" s="41"/>
      <c r="D1" s="41"/>
      <c r="E1" s="41"/>
      <c r="F1" s="41"/>
      <c r="G1" s="41"/>
      <c r="H1" s="41"/>
    </row>
    <row r="2" spans="1:8">
      <c r="A2" s="41"/>
      <c r="B2" s="41"/>
      <c r="C2" s="41"/>
      <c r="D2" s="41"/>
      <c r="E2" s="41"/>
      <c r="F2" s="41"/>
      <c r="G2" s="41"/>
      <c r="H2" s="41"/>
    </row>
    <row r="4" spans="1:8" ht="15">
      <c r="A4" s="10" t="s">
        <v>243</v>
      </c>
      <c r="B4" s="10" t="s">
        <v>244</v>
      </c>
      <c r="C4" s="10" t="s">
        <v>245</v>
      </c>
      <c r="D4" s="10" t="s">
        <v>236</v>
      </c>
      <c r="E4" s="10" t="s">
        <v>237</v>
      </c>
      <c r="F4" s="10" t="s">
        <v>238</v>
      </c>
      <c r="G4" s="10" t="s">
        <v>246</v>
      </c>
    </row>
    <row r="5" spans="1:8" ht="28.5">
      <c r="A5" t="s">
        <v>247</v>
      </c>
      <c r="B5" t="s">
        <v>248</v>
      </c>
      <c r="C5" s="1">
        <v>46241</v>
      </c>
      <c r="D5" s="5">
        <f>SUMIFS(Transactions!$L$2:$L$228,Transactions!$A$2:$A$228,"&gt;="&amp;DATE(2026,4,6),Transactions!$A$2:$A$228,"&lt;="&amp;DATE(2026,7,5))</f>
        <v>15420.77</v>
      </c>
      <c r="E5" s="5">
        <f>SUMIFS(Transactions!$M$2:$M$228,Transactions!$A$2:$A$228,"&gt;="&amp;DATE(2026,4,6),Transactions!$A$2:$A$228,"&lt;="&amp;DATE(2026,7,5))</f>
        <v>9857.6800000000057</v>
      </c>
      <c r="F5" s="5">
        <f>D5-E5</f>
        <v>5563.0899999999947</v>
      </c>
      <c r="G5" s="14" t="s">
        <v>366</v>
      </c>
    </row>
    <row r="6" spans="1:8">
      <c r="A6" t="s">
        <v>249</v>
      </c>
      <c r="B6" t="s">
        <v>250</v>
      </c>
      <c r="C6" s="1">
        <v>46333</v>
      </c>
      <c r="D6" s="5">
        <f>SUMIFS(Transactions!$L$2:$L$228,Transactions!$A$2:$A$228,"&gt;="&amp;DATE(2026,4,6),Transactions!$A$2:$A$228,"&lt;="&amp;DATE(2026,10,5))</f>
        <v>21997.920000000002</v>
      </c>
      <c r="E6" s="5">
        <f>SUMIFS(Transactions!$M$2:$M$228,Transactions!$A$2:$A$228,"&gt;="&amp;DATE(2026,4,6),Transactions!$A$2:$A$228,"&lt;="&amp;DATE(2026,10,5))</f>
        <v>11010.570000000005</v>
      </c>
      <c r="F6" s="5">
        <f>D6-E6</f>
        <v>10987.349999999997</v>
      </c>
      <c r="G6" s="14" t="s">
        <v>367</v>
      </c>
    </row>
    <row r="7" spans="1:8">
      <c r="A7" t="s">
        <v>251</v>
      </c>
      <c r="B7" t="s">
        <v>252</v>
      </c>
      <c r="C7" s="1">
        <v>46425</v>
      </c>
      <c r="D7" s="5">
        <f>SUMIFS(Transactions!$L$2:$L$228,Transactions!$A$2:$A$228,"&gt;="&amp;DATE(2026,4,6),Transactions!$A$2:$A$228,"&lt;="&amp;DATE(2027,1,5))</f>
        <v>21997.920000000002</v>
      </c>
      <c r="E7" s="5">
        <f>SUMIFS(Transactions!$M$2:$M$228,Transactions!$A$2:$A$228,"&gt;="&amp;DATE(2026,4,6),Transactions!$A$2:$A$228,"&lt;="&amp;DATE(2027,1,5))</f>
        <v>11010.570000000005</v>
      </c>
      <c r="F7" s="5">
        <f>D7-E7</f>
        <v>10987.349999999997</v>
      </c>
      <c r="G7" s="14" t="s">
        <v>368</v>
      </c>
    </row>
    <row r="8" spans="1:8">
      <c r="A8" t="s">
        <v>253</v>
      </c>
      <c r="B8" t="s">
        <v>254</v>
      </c>
      <c r="C8" s="1">
        <v>46514</v>
      </c>
      <c r="D8" s="5">
        <f>SUMIFS(Transactions!$L$2:$L$228,Transactions!$A$2:$A$228,"&gt;="&amp;DATE(2026,4,6),Transactions!$A$2:$A$228,"&lt;="&amp;DATE(2027,4,5))</f>
        <v>21997.920000000002</v>
      </c>
      <c r="E8" s="5">
        <f>SUMIFS(Transactions!$M$2:$M$228,Transactions!$A$2:$A$228,"&gt;="&amp;DATE(2026,4,6),Transactions!$A$2:$A$228,"&lt;="&amp;DATE(2027,4,5))</f>
        <v>11010.570000000005</v>
      </c>
      <c r="F8" s="5">
        <f>D8-E8</f>
        <v>10987.349999999997</v>
      </c>
      <c r="G8" s="14" t="s">
        <v>369</v>
      </c>
    </row>
    <row r="9" spans="1:8" ht="28.5">
      <c r="A9" t="s">
        <v>255</v>
      </c>
      <c r="B9" t="s">
        <v>254</v>
      </c>
      <c r="C9" s="1">
        <v>46783</v>
      </c>
      <c r="D9" s="5">
        <f>D8</f>
        <v>21997.920000000002</v>
      </c>
      <c r="E9" s="5">
        <f>E8</f>
        <v>11010.570000000005</v>
      </c>
      <c r="F9" s="5">
        <f>F8</f>
        <v>10987.349999999997</v>
      </c>
      <c r="G9" s="14" t="s">
        <v>370</v>
      </c>
    </row>
    <row r="11" spans="1:8">
      <c r="A11" s="42" t="s">
        <v>371</v>
      </c>
      <c r="B11" s="42"/>
      <c r="C11" s="42"/>
      <c r="D11" s="42"/>
      <c r="E11" s="42"/>
      <c r="F11" s="42"/>
      <c r="G11" s="42"/>
    </row>
    <row r="12" spans="1:8">
      <c r="A12" s="42"/>
      <c r="B12" s="42"/>
      <c r="C12" s="42"/>
      <c r="D12" s="42"/>
      <c r="E12" s="42"/>
      <c r="F12" s="42"/>
      <c r="G12" s="42"/>
    </row>
    <row r="13" spans="1:8">
      <c r="A13" s="38"/>
      <c r="B13" s="38"/>
      <c r="C13" s="38"/>
      <c r="D13" s="38"/>
      <c r="E13" s="38"/>
      <c r="F13" s="38"/>
      <c r="G13" s="38"/>
    </row>
  </sheetData>
  <mergeCells count="2">
    <mergeCell ref="A1:H2"/>
    <mergeCell ref="A11:G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1"/>
  <sheetViews>
    <sheetView workbookViewId="0"/>
  </sheetViews>
  <sheetFormatPr defaultRowHeight="14.25"/>
  <cols>
    <col min="1" max="1" width="16" customWidth="1"/>
    <col min="2" max="2" width="14" customWidth="1"/>
    <col min="3" max="3" width="28" customWidth="1"/>
    <col min="4" max="5" width="17" customWidth="1"/>
    <col min="6" max="6" width="15" customWidth="1"/>
    <col min="7" max="7" width="12" customWidth="1"/>
    <col min="8" max="8" width="14" customWidth="1"/>
    <col min="9" max="10" width="15" customWidth="1"/>
    <col min="11" max="11" width="22" customWidth="1"/>
    <col min="12" max="12" width="30" customWidth="1"/>
  </cols>
  <sheetData>
    <row r="1" spans="1:12" ht="30">
      <c r="A1" s="3" t="s">
        <v>256</v>
      </c>
      <c r="B1" s="3" t="s">
        <v>257</v>
      </c>
      <c r="C1" s="3" t="s">
        <v>258</v>
      </c>
      <c r="D1" s="3" t="s">
        <v>259</v>
      </c>
      <c r="E1" s="3" t="s">
        <v>260</v>
      </c>
      <c r="F1" s="3" t="s">
        <v>261</v>
      </c>
      <c r="G1" s="3" t="s">
        <v>262</v>
      </c>
      <c r="H1" s="3" t="s">
        <v>263</v>
      </c>
      <c r="I1" s="3" t="s">
        <v>264</v>
      </c>
      <c r="J1" s="3" t="s">
        <v>265</v>
      </c>
      <c r="K1" s="3" t="s">
        <v>266</v>
      </c>
      <c r="L1" s="3" t="s">
        <v>18</v>
      </c>
    </row>
    <row r="2" spans="1:12">
      <c r="A2" s="18"/>
      <c r="B2" s="19"/>
      <c r="C2" s="18"/>
      <c r="D2" s="20"/>
      <c r="E2" s="20"/>
      <c r="F2" s="20"/>
      <c r="G2" s="18"/>
      <c r="H2" s="19"/>
      <c r="I2" s="20"/>
      <c r="J2" s="22" t="str">
        <f t="shared" ref="J2:J33" si="0">IF(OR(G2&lt;&gt;"Sold",I2=""),"",I2-D2-E2-F2)</f>
        <v/>
      </c>
      <c r="K2" s="18"/>
      <c r="L2" s="18"/>
    </row>
    <row r="3" spans="1:12">
      <c r="A3" s="18"/>
      <c r="B3" s="19"/>
      <c r="C3" s="18"/>
      <c r="D3" s="20"/>
      <c r="E3" s="20"/>
      <c r="F3" s="20"/>
      <c r="G3" s="18"/>
      <c r="H3" s="19"/>
      <c r="I3" s="20"/>
      <c r="J3" s="22" t="str">
        <f t="shared" si="0"/>
        <v/>
      </c>
      <c r="K3" s="18"/>
      <c r="L3" s="18"/>
    </row>
    <row r="4" spans="1:12">
      <c r="A4" s="18"/>
      <c r="B4" s="19"/>
      <c r="C4" s="18"/>
      <c r="D4" s="20"/>
      <c r="E4" s="20"/>
      <c r="F4" s="20"/>
      <c r="G4" s="18"/>
      <c r="H4" s="19"/>
      <c r="I4" s="20"/>
      <c r="J4" s="22" t="str">
        <f t="shared" si="0"/>
        <v/>
      </c>
      <c r="K4" s="18"/>
      <c r="L4" s="18"/>
    </row>
    <row r="5" spans="1:12">
      <c r="A5" s="18"/>
      <c r="B5" s="19"/>
      <c r="C5" s="18"/>
      <c r="D5" s="20"/>
      <c r="E5" s="20"/>
      <c r="F5" s="20"/>
      <c r="G5" s="18"/>
      <c r="H5" s="19"/>
      <c r="I5" s="20"/>
      <c r="J5" s="22" t="str">
        <f t="shared" si="0"/>
        <v/>
      </c>
      <c r="K5" s="18"/>
      <c r="L5" s="18"/>
    </row>
    <row r="6" spans="1:12">
      <c r="A6" s="18"/>
      <c r="B6" s="19"/>
      <c r="C6" s="18"/>
      <c r="D6" s="20"/>
      <c r="E6" s="20"/>
      <c r="F6" s="20"/>
      <c r="G6" s="18"/>
      <c r="H6" s="19"/>
      <c r="I6" s="20"/>
      <c r="J6" s="22" t="str">
        <f t="shared" si="0"/>
        <v/>
      </c>
      <c r="K6" s="18"/>
      <c r="L6" s="18"/>
    </row>
    <row r="7" spans="1:12">
      <c r="A7" s="18"/>
      <c r="B7" s="19"/>
      <c r="C7" s="18"/>
      <c r="D7" s="20"/>
      <c r="E7" s="20"/>
      <c r="F7" s="20"/>
      <c r="G7" s="18"/>
      <c r="H7" s="19"/>
      <c r="I7" s="20"/>
      <c r="J7" s="22" t="str">
        <f t="shared" si="0"/>
        <v/>
      </c>
      <c r="K7" s="18"/>
      <c r="L7" s="18"/>
    </row>
    <row r="8" spans="1:12">
      <c r="A8" s="18"/>
      <c r="B8" s="19"/>
      <c r="C8" s="18"/>
      <c r="D8" s="20"/>
      <c r="E8" s="20"/>
      <c r="F8" s="20"/>
      <c r="G8" s="18"/>
      <c r="H8" s="19"/>
      <c r="I8" s="20"/>
      <c r="J8" s="22" t="str">
        <f t="shared" si="0"/>
        <v/>
      </c>
      <c r="K8" s="18"/>
      <c r="L8" s="18"/>
    </row>
    <row r="9" spans="1:12">
      <c r="A9" s="18"/>
      <c r="B9" s="19"/>
      <c r="C9" s="18"/>
      <c r="D9" s="20"/>
      <c r="E9" s="20"/>
      <c r="F9" s="20"/>
      <c r="G9" s="18"/>
      <c r="H9" s="19"/>
      <c r="I9" s="20"/>
      <c r="J9" s="22" t="str">
        <f t="shared" si="0"/>
        <v/>
      </c>
      <c r="K9" s="18"/>
      <c r="L9" s="18"/>
    </row>
    <row r="10" spans="1:12">
      <c r="A10" s="18"/>
      <c r="B10" s="19"/>
      <c r="C10" s="18"/>
      <c r="D10" s="20"/>
      <c r="E10" s="20"/>
      <c r="F10" s="20"/>
      <c r="G10" s="18"/>
      <c r="H10" s="19"/>
      <c r="I10" s="20"/>
      <c r="J10" s="22" t="str">
        <f t="shared" si="0"/>
        <v/>
      </c>
      <c r="K10" s="18"/>
      <c r="L10" s="18"/>
    </row>
    <row r="11" spans="1:12">
      <c r="A11" s="18"/>
      <c r="B11" s="19"/>
      <c r="C11" s="18"/>
      <c r="D11" s="20"/>
      <c r="E11" s="20"/>
      <c r="F11" s="20"/>
      <c r="G11" s="18"/>
      <c r="H11" s="19"/>
      <c r="I11" s="20"/>
      <c r="J11" s="22" t="str">
        <f t="shared" si="0"/>
        <v/>
      </c>
      <c r="K11" s="18"/>
      <c r="L11" s="18"/>
    </row>
    <row r="12" spans="1:12">
      <c r="A12" s="18"/>
      <c r="B12" s="19"/>
      <c r="C12" s="18"/>
      <c r="D12" s="20"/>
      <c r="E12" s="20"/>
      <c r="F12" s="20"/>
      <c r="G12" s="18"/>
      <c r="H12" s="19"/>
      <c r="I12" s="20"/>
      <c r="J12" s="22" t="str">
        <f t="shared" si="0"/>
        <v/>
      </c>
      <c r="K12" s="18"/>
      <c r="L12" s="18"/>
    </row>
    <row r="13" spans="1:12">
      <c r="A13" s="18"/>
      <c r="B13" s="19"/>
      <c r="C13" s="18"/>
      <c r="D13" s="20"/>
      <c r="E13" s="20"/>
      <c r="F13" s="20"/>
      <c r="G13" s="18"/>
      <c r="H13" s="19"/>
      <c r="I13" s="20"/>
      <c r="J13" s="22" t="str">
        <f t="shared" si="0"/>
        <v/>
      </c>
      <c r="K13" s="18"/>
      <c r="L13" s="18"/>
    </row>
    <row r="14" spans="1:12">
      <c r="A14" s="18"/>
      <c r="B14" s="19"/>
      <c r="C14" s="18"/>
      <c r="D14" s="20"/>
      <c r="E14" s="20"/>
      <c r="F14" s="20"/>
      <c r="G14" s="18"/>
      <c r="H14" s="19"/>
      <c r="I14" s="20"/>
      <c r="J14" s="22" t="str">
        <f t="shared" si="0"/>
        <v/>
      </c>
      <c r="K14" s="18"/>
      <c r="L14" s="18"/>
    </row>
    <row r="15" spans="1:12">
      <c r="A15" s="18"/>
      <c r="B15" s="19"/>
      <c r="C15" s="18"/>
      <c r="D15" s="20"/>
      <c r="E15" s="20"/>
      <c r="F15" s="20"/>
      <c r="G15" s="18"/>
      <c r="H15" s="19"/>
      <c r="I15" s="20"/>
      <c r="J15" s="22" t="str">
        <f t="shared" si="0"/>
        <v/>
      </c>
      <c r="K15" s="18"/>
      <c r="L15" s="18"/>
    </row>
    <row r="16" spans="1:12">
      <c r="A16" s="18"/>
      <c r="B16" s="19"/>
      <c r="C16" s="18"/>
      <c r="D16" s="20"/>
      <c r="E16" s="20"/>
      <c r="F16" s="20"/>
      <c r="G16" s="18"/>
      <c r="H16" s="19"/>
      <c r="I16" s="20"/>
      <c r="J16" s="22" t="str">
        <f t="shared" si="0"/>
        <v/>
      </c>
      <c r="K16" s="18"/>
      <c r="L16" s="18"/>
    </row>
    <row r="17" spans="1:12">
      <c r="A17" s="18"/>
      <c r="B17" s="19"/>
      <c r="C17" s="18"/>
      <c r="D17" s="20"/>
      <c r="E17" s="20"/>
      <c r="F17" s="20"/>
      <c r="G17" s="18"/>
      <c r="H17" s="19"/>
      <c r="I17" s="20"/>
      <c r="J17" s="22" t="str">
        <f t="shared" si="0"/>
        <v/>
      </c>
      <c r="K17" s="18"/>
      <c r="L17" s="18"/>
    </row>
    <row r="18" spans="1:12">
      <c r="A18" s="18"/>
      <c r="B18" s="19"/>
      <c r="C18" s="18"/>
      <c r="D18" s="20"/>
      <c r="E18" s="20"/>
      <c r="F18" s="20"/>
      <c r="G18" s="18"/>
      <c r="H18" s="19"/>
      <c r="I18" s="20"/>
      <c r="J18" s="22" t="str">
        <f t="shared" si="0"/>
        <v/>
      </c>
      <c r="K18" s="18"/>
      <c r="L18" s="18"/>
    </row>
    <row r="19" spans="1:12">
      <c r="A19" s="18"/>
      <c r="B19" s="19"/>
      <c r="C19" s="18"/>
      <c r="D19" s="20"/>
      <c r="E19" s="20"/>
      <c r="F19" s="20"/>
      <c r="G19" s="18"/>
      <c r="H19" s="19"/>
      <c r="I19" s="20"/>
      <c r="J19" s="22" t="str">
        <f t="shared" si="0"/>
        <v/>
      </c>
      <c r="K19" s="18"/>
      <c r="L19" s="18"/>
    </row>
    <row r="20" spans="1:12">
      <c r="A20" s="18"/>
      <c r="B20" s="19"/>
      <c r="C20" s="18"/>
      <c r="D20" s="20"/>
      <c r="E20" s="20"/>
      <c r="F20" s="20"/>
      <c r="G20" s="18"/>
      <c r="H20" s="19"/>
      <c r="I20" s="20"/>
      <c r="J20" s="22" t="str">
        <f t="shared" si="0"/>
        <v/>
      </c>
      <c r="K20" s="18"/>
      <c r="L20" s="18"/>
    </row>
    <row r="21" spans="1:12">
      <c r="A21" s="18"/>
      <c r="B21" s="19"/>
      <c r="C21" s="18"/>
      <c r="D21" s="20"/>
      <c r="E21" s="20"/>
      <c r="F21" s="20"/>
      <c r="G21" s="18"/>
      <c r="H21" s="19"/>
      <c r="I21" s="20"/>
      <c r="J21" s="22" t="str">
        <f t="shared" si="0"/>
        <v/>
      </c>
      <c r="K21" s="18"/>
      <c r="L21" s="18"/>
    </row>
    <row r="22" spans="1:12">
      <c r="A22" s="18"/>
      <c r="B22" s="19"/>
      <c r="C22" s="18"/>
      <c r="D22" s="20"/>
      <c r="E22" s="20"/>
      <c r="F22" s="20"/>
      <c r="G22" s="18"/>
      <c r="H22" s="19"/>
      <c r="I22" s="20"/>
      <c r="J22" s="22" t="str">
        <f t="shared" si="0"/>
        <v/>
      </c>
      <c r="K22" s="18"/>
      <c r="L22" s="18"/>
    </row>
    <row r="23" spans="1:12">
      <c r="A23" s="18"/>
      <c r="B23" s="19"/>
      <c r="C23" s="18"/>
      <c r="D23" s="20"/>
      <c r="E23" s="20"/>
      <c r="F23" s="20"/>
      <c r="G23" s="18"/>
      <c r="H23" s="19"/>
      <c r="I23" s="20"/>
      <c r="J23" s="22" t="str">
        <f t="shared" si="0"/>
        <v/>
      </c>
      <c r="K23" s="18"/>
      <c r="L23" s="18"/>
    </row>
    <row r="24" spans="1:12">
      <c r="A24" s="18"/>
      <c r="B24" s="19"/>
      <c r="C24" s="18"/>
      <c r="D24" s="20"/>
      <c r="E24" s="20"/>
      <c r="F24" s="20"/>
      <c r="G24" s="18"/>
      <c r="H24" s="19"/>
      <c r="I24" s="20"/>
      <c r="J24" s="22" t="str">
        <f t="shared" si="0"/>
        <v/>
      </c>
      <c r="K24" s="18"/>
      <c r="L24" s="18"/>
    </row>
    <row r="25" spans="1:12">
      <c r="A25" s="18"/>
      <c r="B25" s="19"/>
      <c r="C25" s="18"/>
      <c r="D25" s="20"/>
      <c r="E25" s="20"/>
      <c r="F25" s="20"/>
      <c r="G25" s="18"/>
      <c r="H25" s="19"/>
      <c r="I25" s="20"/>
      <c r="J25" s="22" t="str">
        <f t="shared" si="0"/>
        <v/>
      </c>
      <c r="K25" s="18"/>
      <c r="L25" s="18"/>
    </row>
    <row r="26" spans="1:12">
      <c r="A26" s="18"/>
      <c r="B26" s="19"/>
      <c r="C26" s="18"/>
      <c r="D26" s="20"/>
      <c r="E26" s="20"/>
      <c r="F26" s="20"/>
      <c r="G26" s="18"/>
      <c r="H26" s="19"/>
      <c r="I26" s="20"/>
      <c r="J26" s="22" t="str">
        <f t="shared" si="0"/>
        <v/>
      </c>
      <c r="K26" s="18"/>
      <c r="L26" s="18"/>
    </row>
    <row r="27" spans="1:12">
      <c r="A27" s="18"/>
      <c r="B27" s="19"/>
      <c r="C27" s="18"/>
      <c r="D27" s="20"/>
      <c r="E27" s="20"/>
      <c r="F27" s="20"/>
      <c r="G27" s="18"/>
      <c r="H27" s="19"/>
      <c r="I27" s="20"/>
      <c r="J27" s="22" t="str">
        <f t="shared" si="0"/>
        <v/>
      </c>
      <c r="K27" s="18"/>
      <c r="L27" s="18"/>
    </row>
    <row r="28" spans="1:12">
      <c r="A28" s="18"/>
      <c r="B28" s="19"/>
      <c r="C28" s="18"/>
      <c r="D28" s="20"/>
      <c r="E28" s="20"/>
      <c r="F28" s="20"/>
      <c r="G28" s="18"/>
      <c r="H28" s="19"/>
      <c r="I28" s="20"/>
      <c r="J28" s="22" t="str">
        <f t="shared" si="0"/>
        <v/>
      </c>
      <c r="K28" s="18"/>
      <c r="L28" s="18"/>
    </row>
    <row r="29" spans="1:12">
      <c r="A29" s="18"/>
      <c r="B29" s="19"/>
      <c r="C29" s="18"/>
      <c r="D29" s="20"/>
      <c r="E29" s="20"/>
      <c r="F29" s="20"/>
      <c r="G29" s="18"/>
      <c r="H29" s="19"/>
      <c r="I29" s="20"/>
      <c r="J29" s="22" t="str">
        <f t="shared" si="0"/>
        <v/>
      </c>
      <c r="K29" s="18"/>
      <c r="L29" s="18"/>
    </row>
    <row r="30" spans="1:12">
      <c r="A30" s="18"/>
      <c r="B30" s="19"/>
      <c r="C30" s="18"/>
      <c r="D30" s="20"/>
      <c r="E30" s="20"/>
      <c r="F30" s="20"/>
      <c r="G30" s="18"/>
      <c r="H30" s="19"/>
      <c r="I30" s="20"/>
      <c r="J30" s="22" t="str">
        <f t="shared" si="0"/>
        <v/>
      </c>
      <c r="K30" s="18"/>
      <c r="L30" s="18"/>
    </row>
    <row r="31" spans="1:12">
      <c r="A31" s="18"/>
      <c r="B31" s="19"/>
      <c r="C31" s="18"/>
      <c r="D31" s="20"/>
      <c r="E31" s="20"/>
      <c r="F31" s="20"/>
      <c r="G31" s="18"/>
      <c r="H31" s="19"/>
      <c r="I31" s="20"/>
      <c r="J31" s="22" t="str">
        <f t="shared" si="0"/>
        <v/>
      </c>
      <c r="K31" s="18"/>
      <c r="L31" s="18"/>
    </row>
    <row r="32" spans="1:12">
      <c r="A32" s="18"/>
      <c r="B32" s="19"/>
      <c r="C32" s="18"/>
      <c r="D32" s="20"/>
      <c r="E32" s="20"/>
      <c r="F32" s="20"/>
      <c r="G32" s="18"/>
      <c r="H32" s="19"/>
      <c r="I32" s="20"/>
      <c r="J32" s="22" t="str">
        <f t="shared" si="0"/>
        <v/>
      </c>
      <c r="K32" s="18"/>
      <c r="L32" s="18"/>
    </row>
    <row r="33" spans="1:12">
      <c r="A33" s="18"/>
      <c r="B33" s="19"/>
      <c r="C33" s="18"/>
      <c r="D33" s="20"/>
      <c r="E33" s="20"/>
      <c r="F33" s="20"/>
      <c r="G33" s="18"/>
      <c r="H33" s="19"/>
      <c r="I33" s="20"/>
      <c r="J33" s="22" t="str">
        <f t="shared" si="0"/>
        <v/>
      </c>
      <c r="K33" s="18"/>
      <c r="L33" s="18"/>
    </row>
    <row r="34" spans="1:12">
      <c r="A34" s="18"/>
      <c r="B34" s="19"/>
      <c r="C34" s="18"/>
      <c r="D34" s="20"/>
      <c r="E34" s="20"/>
      <c r="F34" s="20"/>
      <c r="G34" s="18"/>
      <c r="H34" s="19"/>
      <c r="I34" s="20"/>
      <c r="J34" s="22" t="str">
        <f t="shared" ref="J34:J65" si="1">IF(OR(G34&lt;&gt;"Sold",I34=""),"",I34-D34-E34-F34)</f>
        <v/>
      </c>
      <c r="K34" s="18"/>
      <c r="L34" s="18"/>
    </row>
    <row r="35" spans="1:12">
      <c r="A35" s="18"/>
      <c r="B35" s="19"/>
      <c r="C35" s="18"/>
      <c r="D35" s="20"/>
      <c r="E35" s="20"/>
      <c r="F35" s="20"/>
      <c r="G35" s="18"/>
      <c r="H35" s="19"/>
      <c r="I35" s="20"/>
      <c r="J35" s="22" t="str">
        <f t="shared" si="1"/>
        <v/>
      </c>
      <c r="K35" s="18"/>
      <c r="L35" s="18"/>
    </row>
    <row r="36" spans="1:12">
      <c r="A36" s="18"/>
      <c r="B36" s="19"/>
      <c r="C36" s="18"/>
      <c r="D36" s="20"/>
      <c r="E36" s="20"/>
      <c r="F36" s="20"/>
      <c r="G36" s="18"/>
      <c r="H36" s="19"/>
      <c r="I36" s="20"/>
      <c r="J36" s="22" t="str">
        <f t="shared" si="1"/>
        <v/>
      </c>
      <c r="K36" s="18"/>
      <c r="L36" s="18"/>
    </row>
    <row r="37" spans="1:12">
      <c r="A37" s="18"/>
      <c r="B37" s="19"/>
      <c r="C37" s="18"/>
      <c r="D37" s="20"/>
      <c r="E37" s="20"/>
      <c r="F37" s="20"/>
      <c r="G37" s="18"/>
      <c r="H37" s="19"/>
      <c r="I37" s="20"/>
      <c r="J37" s="22" t="str">
        <f t="shared" si="1"/>
        <v/>
      </c>
      <c r="K37" s="18"/>
      <c r="L37" s="18"/>
    </row>
    <row r="38" spans="1:12">
      <c r="A38" s="18"/>
      <c r="B38" s="19"/>
      <c r="C38" s="18"/>
      <c r="D38" s="20"/>
      <c r="E38" s="20"/>
      <c r="F38" s="20"/>
      <c r="G38" s="18"/>
      <c r="H38" s="19"/>
      <c r="I38" s="20"/>
      <c r="J38" s="22" t="str">
        <f t="shared" si="1"/>
        <v/>
      </c>
      <c r="K38" s="18"/>
      <c r="L38" s="18"/>
    </row>
    <row r="39" spans="1:12">
      <c r="A39" s="18"/>
      <c r="B39" s="19"/>
      <c r="C39" s="18"/>
      <c r="D39" s="20"/>
      <c r="E39" s="20"/>
      <c r="F39" s="20"/>
      <c r="G39" s="18"/>
      <c r="H39" s="19"/>
      <c r="I39" s="20"/>
      <c r="J39" s="22" t="str">
        <f t="shared" si="1"/>
        <v/>
      </c>
      <c r="K39" s="18"/>
      <c r="L39" s="18"/>
    </row>
    <row r="40" spans="1:12">
      <c r="A40" s="18"/>
      <c r="B40" s="19"/>
      <c r="C40" s="18"/>
      <c r="D40" s="20"/>
      <c r="E40" s="20"/>
      <c r="F40" s="20"/>
      <c r="G40" s="18"/>
      <c r="H40" s="19"/>
      <c r="I40" s="20"/>
      <c r="J40" s="22" t="str">
        <f t="shared" si="1"/>
        <v/>
      </c>
      <c r="K40" s="18"/>
      <c r="L40" s="18"/>
    </row>
    <row r="41" spans="1:12">
      <c r="A41" s="18"/>
      <c r="B41" s="19"/>
      <c r="C41" s="18"/>
      <c r="D41" s="20"/>
      <c r="E41" s="20"/>
      <c r="F41" s="20"/>
      <c r="G41" s="18"/>
      <c r="H41" s="19"/>
      <c r="I41" s="20"/>
      <c r="J41" s="22" t="str">
        <f t="shared" si="1"/>
        <v/>
      </c>
      <c r="K41" s="18"/>
      <c r="L41" s="18"/>
    </row>
    <row r="42" spans="1:12">
      <c r="A42" s="18"/>
      <c r="B42" s="19"/>
      <c r="C42" s="18"/>
      <c r="D42" s="20"/>
      <c r="E42" s="20"/>
      <c r="F42" s="20"/>
      <c r="G42" s="18"/>
      <c r="H42" s="19"/>
      <c r="I42" s="20"/>
      <c r="J42" s="22" t="str">
        <f t="shared" si="1"/>
        <v/>
      </c>
      <c r="K42" s="18"/>
      <c r="L42" s="18"/>
    </row>
    <row r="43" spans="1:12">
      <c r="A43" s="18"/>
      <c r="B43" s="19"/>
      <c r="C43" s="18"/>
      <c r="D43" s="20"/>
      <c r="E43" s="20"/>
      <c r="F43" s="20"/>
      <c r="G43" s="18"/>
      <c r="H43" s="19"/>
      <c r="I43" s="20"/>
      <c r="J43" s="22" t="str">
        <f t="shared" si="1"/>
        <v/>
      </c>
      <c r="K43" s="18"/>
      <c r="L43" s="18"/>
    </row>
    <row r="44" spans="1:12">
      <c r="A44" s="18"/>
      <c r="B44" s="19"/>
      <c r="C44" s="18"/>
      <c r="D44" s="20"/>
      <c r="E44" s="20"/>
      <c r="F44" s="20"/>
      <c r="G44" s="18"/>
      <c r="H44" s="19"/>
      <c r="I44" s="20"/>
      <c r="J44" s="22" t="str">
        <f t="shared" si="1"/>
        <v/>
      </c>
      <c r="K44" s="18"/>
      <c r="L44" s="18"/>
    </row>
    <row r="45" spans="1:12">
      <c r="A45" s="18"/>
      <c r="B45" s="19"/>
      <c r="C45" s="18"/>
      <c r="D45" s="20"/>
      <c r="E45" s="20"/>
      <c r="F45" s="20"/>
      <c r="G45" s="18"/>
      <c r="H45" s="19"/>
      <c r="I45" s="20"/>
      <c r="J45" s="22" t="str">
        <f t="shared" si="1"/>
        <v/>
      </c>
      <c r="K45" s="18"/>
      <c r="L45" s="18"/>
    </row>
    <row r="46" spans="1:12">
      <c r="A46" s="18"/>
      <c r="B46" s="19"/>
      <c r="C46" s="18"/>
      <c r="D46" s="20"/>
      <c r="E46" s="20"/>
      <c r="F46" s="20"/>
      <c r="G46" s="18"/>
      <c r="H46" s="19"/>
      <c r="I46" s="20"/>
      <c r="J46" s="22" t="str">
        <f t="shared" si="1"/>
        <v/>
      </c>
      <c r="K46" s="18"/>
      <c r="L46" s="18"/>
    </row>
    <row r="47" spans="1:12">
      <c r="A47" s="18"/>
      <c r="B47" s="19"/>
      <c r="C47" s="18"/>
      <c r="D47" s="20"/>
      <c r="E47" s="20"/>
      <c r="F47" s="20"/>
      <c r="G47" s="18"/>
      <c r="H47" s="19"/>
      <c r="I47" s="20"/>
      <c r="J47" s="22" t="str">
        <f t="shared" si="1"/>
        <v/>
      </c>
      <c r="K47" s="18"/>
      <c r="L47" s="18"/>
    </row>
    <row r="48" spans="1:12">
      <c r="A48" s="18"/>
      <c r="B48" s="19"/>
      <c r="C48" s="18"/>
      <c r="D48" s="20"/>
      <c r="E48" s="20"/>
      <c r="F48" s="20"/>
      <c r="G48" s="18"/>
      <c r="H48" s="19"/>
      <c r="I48" s="20"/>
      <c r="J48" s="22" t="str">
        <f t="shared" si="1"/>
        <v/>
      </c>
      <c r="K48" s="18"/>
      <c r="L48" s="18"/>
    </row>
    <row r="49" spans="1:12">
      <c r="A49" s="18"/>
      <c r="B49" s="19"/>
      <c r="C49" s="18"/>
      <c r="D49" s="20"/>
      <c r="E49" s="20"/>
      <c r="F49" s="20"/>
      <c r="G49" s="18"/>
      <c r="H49" s="19"/>
      <c r="I49" s="20"/>
      <c r="J49" s="22" t="str">
        <f t="shared" si="1"/>
        <v/>
      </c>
      <c r="K49" s="18"/>
      <c r="L49" s="18"/>
    </row>
    <row r="50" spans="1:12">
      <c r="A50" s="18"/>
      <c r="B50" s="19"/>
      <c r="C50" s="18"/>
      <c r="D50" s="20"/>
      <c r="E50" s="20"/>
      <c r="F50" s="20"/>
      <c r="G50" s="18"/>
      <c r="H50" s="19"/>
      <c r="I50" s="20"/>
      <c r="J50" s="22" t="str">
        <f t="shared" si="1"/>
        <v/>
      </c>
      <c r="K50" s="18"/>
      <c r="L50" s="18"/>
    </row>
    <row r="51" spans="1:12">
      <c r="A51" s="18"/>
      <c r="B51" s="19"/>
      <c r="C51" s="18"/>
      <c r="D51" s="20"/>
      <c r="E51" s="20"/>
      <c r="F51" s="20"/>
      <c r="G51" s="18"/>
      <c r="H51" s="19"/>
      <c r="I51" s="20"/>
      <c r="J51" s="22" t="str">
        <f t="shared" si="1"/>
        <v/>
      </c>
      <c r="K51" s="18"/>
      <c r="L51" s="18"/>
    </row>
    <row r="52" spans="1:12">
      <c r="A52" s="18"/>
      <c r="B52" s="19"/>
      <c r="C52" s="18"/>
      <c r="D52" s="20"/>
      <c r="E52" s="20"/>
      <c r="F52" s="20"/>
      <c r="G52" s="18"/>
      <c r="H52" s="19"/>
      <c r="I52" s="20"/>
      <c r="J52" s="22" t="str">
        <f t="shared" si="1"/>
        <v/>
      </c>
      <c r="K52" s="18"/>
      <c r="L52" s="18"/>
    </row>
    <row r="53" spans="1:12">
      <c r="A53" s="18"/>
      <c r="B53" s="19"/>
      <c r="C53" s="18"/>
      <c r="D53" s="20"/>
      <c r="E53" s="20"/>
      <c r="F53" s="20"/>
      <c r="G53" s="18"/>
      <c r="H53" s="19"/>
      <c r="I53" s="20"/>
      <c r="J53" s="22" t="str">
        <f t="shared" si="1"/>
        <v/>
      </c>
      <c r="K53" s="18"/>
      <c r="L53" s="18"/>
    </row>
    <row r="54" spans="1:12">
      <c r="A54" s="18"/>
      <c r="B54" s="19"/>
      <c r="C54" s="18"/>
      <c r="D54" s="20"/>
      <c r="E54" s="20"/>
      <c r="F54" s="20"/>
      <c r="G54" s="18"/>
      <c r="H54" s="19"/>
      <c r="I54" s="20"/>
      <c r="J54" s="22" t="str">
        <f t="shared" si="1"/>
        <v/>
      </c>
      <c r="K54" s="18"/>
      <c r="L54" s="18"/>
    </row>
    <row r="55" spans="1:12">
      <c r="A55" s="18"/>
      <c r="B55" s="19"/>
      <c r="C55" s="18"/>
      <c r="D55" s="20"/>
      <c r="E55" s="20"/>
      <c r="F55" s="20"/>
      <c r="G55" s="18"/>
      <c r="H55" s="19"/>
      <c r="I55" s="20"/>
      <c r="J55" s="22" t="str">
        <f t="shared" si="1"/>
        <v/>
      </c>
      <c r="K55" s="18"/>
      <c r="L55" s="18"/>
    </row>
    <row r="56" spans="1:12">
      <c r="A56" s="18"/>
      <c r="B56" s="19"/>
      <c r="C56" s="18"/>
      <c r="D56" s="20"/>
      <c r="E56" s="20"/>
      <c r="F56" s="20"/>
      <c r="G56" s="18"/>
      <c r="H56" s="19"/>
      <c r="I56" s="20"/>
      <c r="J56" s="22" t="str">
        <f t="shared" si="1"/>
        <v/>
      </c>
      <c r="K56" s="18"/>
      <c r="L56" s="18"/>
    </row>
    <row r="57" spans="1:12">
      <c r="A57" s="18"/>
      <c r="B57" s="19"/>
      <c r="C57" s="18"/>
      <c r="D57" s="20"/>
      <c r="E57" s="20"/>
      <c r="F57" s="20"/>
      <c r="G57" s="18"/>
      <c r="H57" s="19"/>
      <c r="I57" s="20"/>
      <c r="J57" s="22" t="str">
        <f t="shared" si="1"/>
        <v/>
      </c>
      <c r="K57" s="18"/>
      <c r="L57" s="18"/>
    </row>
    <row r="58" spans="1:12">
      <c r="A58" s="18"/>
      <c r="B58" s="19"/>
      <c r="C58" s="18"/>
      <c r="D58" s="20"/>
      <c r="E58" s="20"/>
      <c r="F58" s="20"/>
      <c r="G58" s="18"/>
      <c r="H58" s="19"/>
      <c r="I58" s="20"/>
      <c r="J58" s="22" t="str">
        <f t="shared" si="1"/>
        <v/>
      </c>
      <c r="K58" s="18"/>
      <c r="L58" s="18"/>
    </row>
    <row r="59" spans="1:12">
      <c r="A59" s="18"/>
      <c r="B59" s="19"/>
      <c r="C59" s="18"/>
      <c r="D59" s="20"/>
      <c r="E59" s="20"/>
      <c r="F59" s="20"/>
      <c r="G59" s="18"/>
      <c r="H59" s="19"/>
      <c r="I59" s="20"/>
      <c r="J59" s="22" t="str">
        <f t="shared" si="1"/>
        <v/>
      </c>
      <c r="K59" s="18"/>
      <c r="L59" s="18"/>
    </row>
    <row r="60" spans="1:12">
      <c r="A60" s="18"/>
      <c r="B60" s="19"/>
      <c r="C60" s="18"/>
      <c r="D60" s="20"/>
      <c r="E60" s="20"/>
      <c r="F60" s="20"/>
      <c r="G60" s="18"/>
      <c r="H60" s="19"/>
      <c r="I60" s="20"/>
      <c r="J60" s="22" t="str">
        <f t="shared" si="1"/>
        <v/>
      </c>
      <c r="K60" s="18"/>
      <c r="L60" s="18"/>
    </row>
    <row r="61" spans="1:12">
      <c r="A61" s="18"/>
      <c r="B61" s="19"/>
      <c r="C61" s="18"/>
      <c r="D61" s="20"/>
      <c r="E61" s="20"/>
      <c r="F61" s="20"/>
      <c r="G61" s="18"/>
      <c r="H61" s="19"/>
      <c r="I61" s="20"/>
      <c r="J61" s="22" t="str">
        <f t="shared" si="1"/>
        <v/>
      </c>
      <c r="K61" s="18"/>
      <c r="L61" s="18"/>
    </row>
    <row r="62" spans="1:12">
      <c r="A62" s="18"/>
      <c r="B62" s="19"/>
      <c r="C62" s="18"/>
      <c r="D62" s="20"/>
      <c r="E62" s="20"/>
      <c r="F62" s="20"/>
      <c r="G62" s="18"/>
      <c r="H62" s="19"/>
      <c r="I62" s="20"/>
      <c r="J62" s="22" t="str">
        <f t="shared" si="1"/>
        <v/>
      </c>
      <c r="K62" s="18"/>
      <c r="L62" s="18"/>
    </row>
    <row r="63" spans="1:12">
      <c r="A63" s="18"/>
      <c r="B63" s="19"/>
      <c r="C63" s="18"/>
      <c r="D63" s="20"/>
      <c r="E63" s="20"/>
      <c r="F63" s="20"/>
      <c r="G63" s="18"/>
      <c r="H63" s="19"/>
      <c r="I63" s="20"/>
      <c r="J63" s="22" t="str">
        <f t="shared" si="1"/>
        <v/>
      </c>
      <c r="K63" s="18"/>
      <c r="L63" s="18"/>
    </row>
    <row r="64" spans="1:12">
      <c r="A64" s="18"/>
      <c r="B64" s="19"/>
      <c r="C64" s="18"/>
      <c r="D64" s="20"/>
      <c r="E64" s="20"/>
      <c r="F64" s="20"/>
      <c r="G64" s="18"/>
      <c r="H64" s="19"/>
      <c r="I64" s="20"/>
      <c r="J64" s="22" t="str">
        <f t="shared" si="1"/>
        <v/>
      </c>
      <c r="K64" s="18"/>
      <c r="L64" s="18"/>
    </row>
    <row r="65" spans="1:12">
      <c r="A65" s="18"/>
      <c r="B65" s="19"/>
      <c r="C65" s="18"/>
      <c r="D65" s="20"/>
      <c r="E65" s="20"/>
      <c r="F65" s="20"/>
      <c r="G65" s="18"/>
      <c r="H65" s="19"/>
      <c r="I65" s="20"/>
      <c r="J65" s="22" t="str">
        <f t="shared" si="1"/>
        <v/>
      </c>
      <c r="K65" s="18"/>
      <c r="L65" s="18"/>
    </row>
    <row r="66" spans="1:12">
      <c r="A66" s="18"/>
      <c r="B66" s="19"/>
      <c r="C66" s="18"/>
      <c r="D66" s="20"/>
      <c r="E66" s="20"/>
      <c r="F66" s="20"/>
      <c r="G66" s="18"/>
      <c r="H66" s="19"/>
      <c r="I66" s="20"/>
      <c r="J66" s="22" t="str">
        <f t="shared" ref="J66:J97" si="2">IF(OR(G66&lt;&gt;"Sold",I66=""),"",I66-D66-E66-F66)</f>
        <v/>
      </c>
      <c r="K66" s="18"/>
      <c r="L66" s="18"/>
    </row>
    <row r="67" spans="1:12">
      <c r="A67" s="18"/>
      <c r="B67" s="19"/>
      <c r="C67" s="18"/>
      <c r="D67" s="20"/>
      <c r="E67" s="20"/>
      <c r="F67" s="20"/>
      <c r="G67" s="18"/>
      <c r="H67" s="19"/>
      <c r="I67" s="20"/>
      <c r="J67" s="22" t="str">
        <f t="shared" si="2"/>
        <v/>
      </c>
      <c r="K67" s="18"/>
      <c r="L67" s="18"/>
    </row>
    <row r="68" spans="1:12">
      <c r="A68" s="18"/>
      <c r="B68" s="19"/>
      <c r="C68" s="18"/>
      <c r="D68" s="20"/>
      <c r="E68" s="20"/>
      <c r="F68" s="20"/>
      <c r="G68" s="18"/>
      <c r="H68" s="19"/>
      <c r="I68" s="20"/>
      <c r="J68" s="22" t="str">
        <f t="shared" si="2"/>
        <v/>
      </c>
      <c r="K68" s="18"/>
      <c r="L68" s="18"/>
    </row>
    <row r="69" spans="1:12">
      <c r="A69" s="18"/>
      <c r="B69" s="19"/>
      <c r="C69" s="18"/>
      <c r="D69" s="20"/>
      <c r="E69" s="20"/>
      <c r="F69" s="20"/>
      <c r="G69" s="18"/>
      <c r="H69" s="19"/>
      <c r="I69" s="20"/>
      <c r="J69" s="22" t="str">
        <f t="shared" si="2"/>
        <v/>
      </c>
      <c r="K69" s="18"/>
      <c r="L69" s="18"/>
    </row>
    <row r="70" spans="1:12">
      <c r="A70" s="18"/>
      <c r="B70" s="19"/>
      <c r="C70" s="18"/>
      <c r="D70" s="20"/>
      <c r="E70" s="20"/>
      <c r="F70" s="20"/>
      <c r="G70" s="18"/>
      <c r="H70" s="19"/>
      <c r="I70" s="20"/>
      <c r="J70" s="22" t="str">
        <f t="shared" si="2"/>
        <v/>
      </c>
      <c r="K70" s="18"/>
      <c r="L70" s="18"/>
    </row>
    <row r="71" spans="1:12">
      <c r="A71" s="18"/>
      <c r="B71" s="19"/>
      <c r="C71" s="18"/>
      <c r="D71" s="20"/>
      <c r="E71" s="20"/>
      <c r="F71" s="20"/>
      <c r="G71" s="18"/>
      <c r="H71" s="19"/>
      <c r="I71" s="20"/>
      <c r="J71" s="22" t="str">
        <f t="shared" si="2"/>
        <v/>
      </c>
      <c r="K71" s="18"/>
      <c r="L71" s="18"/>
    </row>
    <row r="72" spans="1:12">
      <c r="A72" s="18"/>
      <c r="B72" s="19"/>
      <c r="C72" s="18"/>
      <c r="D72" s="20"/>
      <c r="E72" s="20"/>
      <c r="F72" s="20"/>
      <c r="G72" s="18"/>
      <c r="H72" s="19"/>
      <c r="I72" s="20"/>
      <c r="J72" s="22" t="str">
        <f t="shared" si="2"/>
        <v/>
      </c>
      <c r="K72" s="18"/>
      <c r="L72" s="18"/>
    </row>
    <row r="73" spans="1:12">
      <c r="A73" s="18"/>
      <c r="B73" s="19"/>
      <c r="C73" s="18"/>
      <c r="D73" s="20"/>
      <c r="E73" s="20"/>
      <c r="F73" s="20"/>
      <c r="G73" s="18"/>
      <c r="H73" s="19"/>
      <c r="I73" s="20"/>
      <c r="J73" s="22" t="str">
        <f t="shared" si="2"/>
        <v/>
      </c>
      <c r="K73" s="18"/>
      <c r="L73" s="18"/>
    </row>
    <row r="74" spans="1:12">
      <c r="A74" s="18"/>
      <c r="B74" s="19"/>
      <c r="C74" s="18"/>
      <c r="D74" s="20"/>
      <c r="E74" s="20"/>
      <c r="F74" s="20"/>
      <c r="G74" s="18"/>
      <c r="H74" s="19"/>
      <c r="I74" s="20"/>
      <c r="J74" s="22" t="str">
        <f t="shared" si="2"/>
        <v/>
      </c>
      <c r="K74" s="18"/>
      <c r="L74" s="18"/>
    </row>
    <row r="75" spans="1:12">
      <c r="A75" s="18"/>
      <c r="B75" s="19"/>
      <c r="C75" s="18"/>
      <c r="D75" s="20"/>
      <c r="E75" s="20"/>
      <c r="F75" s="20"/>
      <c r="G75" s="18"/>
      <c r="H75" s="19"/>
      <c r="I75" s="20"/>
      <c r="J75" s="22" t="str">
        <f t="shared" si="2"/>
        <v/>
      </c>
      <c r="K75" s="18"/>
      <c r="L75" s="18"/>
    </row>
    <row r="76" spans="1:12">
      <c r="A76" s="18"/>
      <c r="B76" s="19"/>
      <c r="C76" s="18"/>
      <c r="D76" s="20"/>
      <c r="E76" s="20"/>
      <c r="F76" s="20"/>
      <c r="G76" s="18"/>
      <c r="H76" s="19"/>
      <c r="I76" s="20"/>
      <c r="J76" s="22" t="str">
        <f t="shared" si="2"/>
        <v/>
      </c>
      <c r="K76" s="18"/>
      <c r="L76" s="18"/>
    </row>
    <row r="77" spans="1:12">
      <c r="A77" s="18"/>
      <c r="B77" s="19"/>
      <c r="C77" s="18"/>
      <c r="D77" s="20"/>
      <c r="E77" s="20"/>
      <c r="F77" s="20"/>
      <c r="G77" s="18"/>
      <c r="H77" s="19"/>
      <c r="I77" s="20"/>
      <c r="J77" s="22" t="str">
        <f t="shared" si="2"/>
        <v/>
      </c>
      <c r="K77" s="18"/>
      <c r="L77" s="18"/>
    </row>
    <row r="78" spans="1:12">
      <c r="A78" s="18"/>
      <c r="B78" s="19"/>
      <c r="C78" s="18"/>
      <c r="D78" s="20"/>
      <c r="E78" s="20"/>
      <c r="F78" s="20"/>
      <c r="G78" s="18"/>
      <c r="H78" s="19"/>
      <c r="I78" s="20"/>
      <c r="J78" s="22" t="str">
        <f t="shared" si="2"/>
        <v/>
      </c>
      <c r="K78" s="18"/>
      <c r="L78" s="18"/>
    </row>
    <row r="79" spans="1:12">
      <c r="A79" s="18"/>
      <c r="B79" s="19"/>
      <c r="C79" s="18"/>
      <c r="D79" s="20"/>
      <c r="E79" s="20"/>
      <c r="F79" s="20"/>
      <c r="G79" s="18"/>
      <c r="H79" s="19"/>
      <c r="I79" s="20"/>
      <c r="J79" s="22" t="str">
        <f t="shared" si="2"/>
        <v/>
      </c>
      <c r="K79" s="18"/>
      <c r="L79" s="18"/>
    </row>
    <row r="80" spans="1:12">
      <c r="A80" s="18"/>
      <c r="B80" s="19"/>
      <c r="C80" s="18"/>
      <c r="D80" s="20"/>
      <c r="E80" s="20"/>
      <c r="F80" s="20"/>
      <c r="G80" s="18"/>
      <c r="H80" s="19"/>
      <c r="I80" s="20"/>
      <c r="J80" s="22" t="str">
        <f t="shared" si="2"/>
        <v/>
      </c>
      <c r="K80" s="18"/>
      <c r="L80" s="18"/>
    </row>
    <row r="81" spans="1:12">
      <c r="A81" s="18"/>
      <c r="B81" s="19"/>
      <c r="C81" s="18"/>
      <c r="D81" s="20"/>
      <c r="E81" s="20"/>
      <c r="F81" s="20"/>
      <c r="G81" s="18"/>
      <c r="H81" s="19"/>
      <c r="I81" s="20"/>
      <c r="J81" s="22" t="str">
        <f t="shared" si="2"/>
        <v/>
      </c>
      <c r="K81" s="18"/>
      <c r="L81" s="18"/>
    </row>
    <row r="82" spans="1:12">
      <c r="A82" s="18"/>
      <c r="B82" s="19"/>
      <c r="C82" s="18"/>
      <c r="D82" s="20"/>
      <c r="E82" s="20"/>
      <c r="F82" s="20"/>
      <c r="G82" s="18"/>
      <c r="H82" s="19"/>
      <c r="I82" s="20"/>
      <c r="J82" s="22" t="str">
        <f t="shared" si="2"/>
        <v/>
      </c>
      <c r="K82" s="18"/>
      <c r="L82" s="18"/>
    </row>
    <row r="83" spans="1:12">
      <c r="A83" s="18"/>
      <c r="B83" s="19"/>
      <c r="C83" s="18"/>
      <c r="D83" s="20"/>
      <c r="E83" s="20"/>
      <c r="F83" s="20"/>
      <c r="G83" s="18"/>
      <c r="H83" s="19"/>
      <c r="I83" s="20"/>
      <c r="J83" s="22" t="str">
        <f t="shared" si="2"/>
        <v/>
      </c>
      <c r="K83" s="18"/>
      <c r="L83" s="18"/>
    </row>
    <row r="84" spans="1:12">
      <c r="A84" s="18"/>
      <c r="B84" s="19"/>
      <c r="C84" s="18"/>
      <c r="D84" s="20"/>
      <c r="E84" s="20"/>
      <c r="F84" s="20"/>
      <c r="G84" s="18"/>
      <c r="H84" s="19"/>
      <c r="I84" s="20"/>
      <c r="J84" s="22" t="str">
        <f t="shared" si="2"/>
        <v/>
      </c>
      <c r="K84" s="18"/>
      <c r="L84" s="18"/>
    </row>
    <row r="85" spans="1:12">
      <c r="A85" s="18"/>
      <c r="B85" s="19"/>
      <c r="C85" s="18"/>
      <c r="D85" s="20"/>
      <c r="E85" s="20"/>
      <c r="F85" s="20"/>
      <c r="G85" s="18"/>
      <c r="H85" s="19"/>
      <c r="I85" s="20"/>
      <c r="J85" s="22" t="str">
        <f t="shared" si="2"/>
        <v/>
      </c>
      <c r="K85" s="18"/>
      <c r="L85" s="18"/>
    </row>
    <row r="86" spans="1:12">
      <c r="A86" s="18"/>
      <c r="B86" s="19"/>
      <c r="C86" s="18"/>
      <c r="D86" s="20"/>
      <c r="E86" s="20"/>
      <c r="F86" s="20"/>
      <c r="G86" s="18"/>
      <c r="H86" s="19"/>
      <c r="I86" s="20"/>
      <c r="J86" s="22" t="str">
        <f t="shared" si="2"/>
        <v/>
      </c>
      <c r="K86" s="18"/>
      <c r="L86" s="18"/>
    </row>
    <row r="87" spans="1:12">
      <c r="A87" s="18"/>
      <c r="B87" s="19"/>
      <c r="C87" s="18"/>
      <c r="D87" s="20"/>
      <c r="E87" s="20"/>
      <c r="F87" s="20"/>
      <c r="G87" s="18"/>
      <c r="H87" s="19"/>
      <c r="I87" s="20"/>
      <c r="J87" s="22" t="str">
        <f t="shared" si="2"/>
        <v/>
      </c>
      <c r="K87" s="18"/>
      <c r="L87" s="18"/>
    </row>
    <row r="88" spans="1:12">
      <c r="A88" s="18"/>
      <c r="B88" s="19"/>
      <c r="C88" s="18"/>
      <c r="D88" s="20"/>
      <c r="E88" s="20"/>
      <c r="F88" s="20"/>
      <c r="G88" s="18"/>
      <c r="H88" s="19"/>
      <c r="I88" s="20"/>
      <c r="J88" s="22" t="str">
        <f t="shared" si="2"/>
        <v/>
      </c>
      <c r="K88" s="18"/>
      <c r="L88" s="18"/>
    </row>
    <row r="89" spans="1:12">
      <c r="A89" s="18"/>
      <c r="B89" s="19"/>
      <c r="C89" s="18"/>
      <c r="D89" s="20"/>
      <c r="E89" s="20"/>
      <c r="F89" s="20"/>
      <c r="G89" s="18"/>
      <c r="H89" s="19"/>
      <c r="I89" s="20"/>
      <c r="J89" s="22" t="str">
        <f t="shared" si="2"/>
        <v/>
      </c>
      <c r="K89" s="18"/>
      <c r="L89" s="18"/>
    </row>
    <row r="90" spans="1:12">
      <c r="A90" s="18"/>
      <c r="B90" s="19"/>
      <c r="C90" s="18"/>
      <c r="D90" s="20"/>
      <c r="E90" s="20"/>
      <c r="F90" s="20"/>
      <c r="G90" s="18"/>
      <c r="H90" s="19"/>
      <c r="I90" s="20"/>
      <c r="J90" s="22" t="str">
        <f t="shared" si="2"/>
        <v/>
      </c>
      <c r="K90" s="18"/>
      <c r="L90" s="18"/>
    </row>
    <row r="91" spans="1:12">
      <c r="A91" s="18"/>
      <c r="B91" s="19"/>
      <c r="C91" s="18"/>
      <c r="D91" s="20"/>
      <c r="E91" s="20"/>
      <c r="F91" s="20"/>
      <c r="G91" s="18"/>
      <c r="H91" s="19"/>
      <c r="I91" s="20"/>
      <c r="J91" s="22" t="str">
        <f t="shared" si="2"/>
        <v/>
      </c>
      <c r="K91" s="18"/>
      <c r="L91" s="18"/>
    </row>
    <row r="92" spans="1:12">
      <c r="A92" s="18"/>
      <c r="B92" s="19"/>
      <c r="C92" s="18"/>
      <c r="D92" s="20"/>
      <c r="E92" s="20"/>
      <c r="F92" s="20"/>
      <c r="G92" s="18"/>
      <c r="H92" s="19"/>
      <c r="I92" s="20"/>
      <c r="J92" s="22" t="str">
        <f t="shared" si="2"/>
        <v/>
      </c>
      <c r="K92" s="18"/>
      <c r="L92" s="18"/>
    </row>
    <row r="93" spans="1:12">
      <c r="A93" s="18"/>
      <c r="B93" s="19"/>
      <c r="C93" s="18"/>
      <c r="D93" s="20"/>
      <c r="E93" s="20"/>
      <c r="F93" s="20"/>
      <c r="G93" s="18"/>
      <c r="H93" s="19"/>
      <c r="I93" s="20"/>
      <c r="J93" s="22" t="str">
        <f t="shared" si="2"/>
        <v/>
      </c>
      <c r="K93" s="18"/>
      <c r="L93" s="18"/>
    </row>
    <row r="94" spans="1:12">
      <c r="A94" s="18"/>
      <c r="B94" s="19"/>
      <c r="C94" s="18"/>
      <c r="D94" s="20"/>
      <c r="E94" s="20"/>
      <c r="F94" s="20"/>
      <c r="G94" s="18"/>
      <c r="H94" s="19"/>
      <c r="I94" s="20"/>
      <c r="J94" s="22" t="str">
        <f t="shared" si="2"/>
        <v/>
      </c>
      <c r="K94" s="18"/>
      <c r="L94" s="18"/>
    </row>
    <row r="95" spans="1:12">
      <c r="A95" s="18"/>
      <c r="B95" s="19"/>
      <c r="C95" s="18"/>
      <c r="D95" s="20"/>
      <c r="E95" s="20"/>
      <c r="F95" s="20"/>
      <c r="G95" s="18"/>
      <c r="H95" s="19"/>
      <c r="I95" s="20"/>
      <c r="J95" s="22" t="str">
        <f t="shared" si="2"/>
        <v/>
      </c>
      <c r="K95" s="18"/>
      <c r="L95" s="18"/>
    </row>
    <row r="96" spans="1:12">
      <c r="A96" s="18"/>
      <c r="B96" s="19"/>
      <c r="C96" s="18"/>
      <c r="D96" s="20"/>
      <c r="E96" s="20"/>
      <c r="F96" s="20"/>
      <c r="G96" s="18"/>
      <c r="H96" s="19"/>
      <c r="I96" s="20"/>
      <c r="J96" s="22" t="str">
        <f t="shared" si="2"/>
        <v/>
      </c>
      <c r="K96" s="18"/>
      <c r="L96" s="18"/>
    </row>
    <row r="97" spans="1:12">
      <c r="A97" s="18"/>
      <c r="B97" s="19"/>
      <c r="C97" s="18"/>
      <c r="D97" s="20"/>
      <c r="E97" s="20"/>
      <c r="F97" s="20"/>
      <c r="G97" s="18"/>
      <c r="H97" s="19"/>
      <c r="I97" s="20"/>
      <c r="J97" s="22" t="str">
        <f t="shared" si="2"/>
        <v/>
      </c>
      <c r="K97" s="18"/>
      <c r="L97" s="18"/>
    </row>
    <row r="98" spans="1:12">
      <c r="A98" s="18"/>
      <c r="B98" s="19"/>
      <c r="C98" s="18"/>
      <c r="D98" s="20"/>
      <c r="E98" s="20"/>
      <c r="F98" s="20"/>
      <c r="G98" s="18"/>
      <c r="H98" s="19"/>
      <c r="I98" s="20"/>
      <c r="J98" s="22" t="str">
        <f t="shared" ref="J98:J101" si="3">IF(OR(G98&lt;&gt;"Sold",I98=""),"",I98-D98-E98-F98)</f>
        <v/>
      </c>
      <c r="K98" s="18"/>
      <c r="L98" s="18"/>
    </row>
    <row r="99" spans="1:12">
      <c r="A99" s="18"/>
      <c r="B99" s="19"/>
      <c r="C99" s="18"/>
      <c r="D99" s="20"/>
      <c r="E99" s="20"/>
      <c r="F99" s="20"/>
      <c r="G99" s="18"/>
      <c r="H99" s="19"/>
      <c r="I99" s="20"/>
      <c r="J99" s="22" t="str">
        <f t="shared" si="3"/>
        <v/>
      </c>
      <c r="K99" s="18"/>
      <c r="L99" s="18"/>
    </row>
    <row r="100" spans="1:12">
      <c r="A100" s="18"/>
      <c r="B100" s="19"/>
      <c r="C100" s="18"/>
      <c r="D100" s="20"/>
      <c r="E100" s="20"/>
      <c r="F100" s="20"/>
      <c r="G100" s="18"/>
      <c r="H100" s="19"/>
      <c r="I100" s="20"/>
      <c r="J100" s="22" t="str">
        <f t="shared" si="3"/>
        <v/>
      </c>
      <c r="K100" s="18"/>
      <c r="L100" s="18"/>
    </row>
    <row r="101" spans="1:12">
      <c r="A101" s="18"/>
      <c r="B101" s="19"/>
      <c r="C101" s="18"/>
      <c r="D101" s="20"/>
      <c r="E101" s="20"/>
      <c r="F101" s="20"/>
      <c r="G101" s="18"/>
      <c r="H101" s="19"/>
      <c r="I101" s="20"/>
      <c r="J101" s="22" t="str">
        <f t="shared" si="3"/>
        <v/>
      </c>
      <c r="K101" s="18"/>
      <c r="L101" s="18"/>
    </row>
  </sheetData>
  <dataValidations count="1">
    <dataValidation type="list" sqref="G2:G101" xr:uid="{00000000-0002-0000-0300-000000000000}">
      <formula1>"In Stock,Reserved,Sold,Returned,Scrapped"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workbookViewId="0"/>
  </sheetViews>
  <sheetFormatPr defaultRowHeight="14.25"/>
  <cols>
    <col min="1" max="1" width="13" customWidth="1"/>
    <col min="2" max="2" width="30" customWidth="1"/>
    <col min="3" max="4" width="18" customWidth="1"/>
    <col min="5" max="7" width="15" customWidth="1"/>
    <col min="8" max="8" width="20" customWidth="1"/>
    <col min="9" max="9" width="28" customWidth="1"/>
  </cols>
  <sheetData>
    <row r="1" spans="1:9" ht="15">
      <c r="A1" s="3" t="s">
        <v>0</v>
      </c>
      <c r="B1" s="3" t="s">
        <v>267</v>
      </c>
      <c r="C1" s="3" t="s">
        <v>268</v>
      </c>
      <c r="D1" s="3" t="s">
        <v>269</v>
      </c>
      <c r="E1" s="3" t="s">
        <v>270</v>
      </c>
      <c r="F1" s="3" t="s">
        <v>271</v>
      </c>
      <c r="G1" s="3" t="s">
        <v>272</v>
      </c>
      <c r="H1" s="3" t="s">
        <v>273</v>
      </c>
      <c r="I1" s="3" t="s">
        <v>18</v>
      </c>
    </row>
    <row r="2" spans="1:9">
      <c r="A2" s="19"/>
      <c r="B2" s="18"/>
      <c r="C2" s="18"/>
      <c r="D2" s="18"/>
      <c r="E2" s="18"/>
      <c r="F2" s="18"/>
      <c r="G2" s="22">
        <f t="shared" ref="G2:G65" si="0">IF(E2="Motorcycle",0.24,IF(F2&lt;=10000,0.55,0.25))</f>
        <v>0.55000000000000004</v>
      </c>
      <c r="H2" s="22" t="str">
        <f t="shared" ref="H2:H65" si="1">IF(F2="","",F2*G2)</f>
        <v/>
      </c>
      <c r="I2" s="18"/>
    </row>
    <row r="3" spans="1:9">
      <c r="A3" s="19"/>
      <c r="B3" s="18"/>
      <c r="C3" s="18"/>
      <c r="D3" s="18"/>
      <c r="E3" s="18"/>
      <c r="F3" s="18"/>
      <c r="G3" s="22">
        <f t="shared" si="0"/>
        <v>0.55000000000000004</v>
      </c>
      <c r="H3" s="22" t="str">
        <f t="shared" si="1"/>
        <v/>
      </c>
      <c r="I3" s="18"/>
    </row>
    <row r="4" spans="1:9">
      <c r="A4" s="19"/>
      <c r="B4" s="18"/>
      <c r="C4" s="18"/>
      <c r="D4" s="18"/>
      <c r="E4" s="18"/>
      <c r="F4" s="18"/>
      <c r="G4" s="22">
        <f t="shared" si="0"/>
        <v>0.55000000000000004</v>
      </c>
      <c r="H4" s="22" t="str">
        <f t="shared" si="1"/>
        <v/>
      </c>
      <c r="I4" s="18"/>
    </row>
    <row r="5" spans="1:9">
      <c r="A5" s="19"/>
      <c r="B5" s="18"/>
      <c r="C5" s="18"/>
      <c r="D5" s="18"/>
      <c r="E5" s="18"/>
      <c r="F5" s="18"/>
      <c r="G5" s="22">
        <f t="shared" si="0"/>
        <v>0.55000000000000004</v>
      </c>
      <c r="H5" s="22" t="str">
        <f t="shared" si="1"/>
        <v/>
      </c>
      <c r="I5" s="18"/>
    </row>
    <row r="6" spans="1:9">
      <c r="A6" s="19"/>
      <c r="B6" s="18"/>
      <c r="C6" s="18"/>
      <c r="D6" s="18"/>
      <c r="E6" s="18"/>
      <c r="F6" s="18"/>
      <c r="G6" s="22">
        <f t="shared" si="0"/>
        <v>0.55000000000000004</v>
      </c>
      <c r="H6" s="22" t="str">
        <f t="shared" si="1"/>
        <v/>
      </c>
      <c r="I6" s="18"/>
    </row>
    <row r="7" spans="1:9">
      <c r="A7" s="19"/>
      <c r="B7" s="18"/>
      <c r="C7" s="18"/>
      <c r="D7" s="18"/>
      <c r="E7" s="18"/>
      <c r="F7" s="18"/>
      <c r="G7" s="22">
        <f t="shared" si="0"/>
        <v>0.55000000000000004</v>
      </c>
      <c r="H7" s="22" t="str">
        <f t="shared" si="1"/>
        <v/>
      </c>
      <c r="I7" s="18"/>
    </row>
    <row r="8" spans="1:9">
      <c r="A8" s="19"/>
      <c r="B8" s="18"/>
      <c r="C8" s="18"/>
      <c r="D8" s="18"/>
      <c r="E8" s="18"/>
      <c r="F8" s="18"/>
      <c r="G8" s="22">
        <f t="shared" si="0"/>
        <v>0.55000000000000004</v>
      </c>
      <c r="H8" s="22" t="str">
        <f t="shared" si="1"/>
        <v/>
      </c>
      <c r="I8" s="18"/>
    </row>
    <row r="9" spans="1:9">
      <c r="A9" s="19"/>
      <c r="B9" s="18"/>
      <c r="C9" s="18"/>
      <c r="D9" s="18"/>
      <c r="E9" s="18"/>
      <c r="F9" s="18"/>
      <c r="G9" s="22">
        <f t="shared" si="0"/>
        <v>0.55000000000000004</v>
      </c>
      <c r="H9" s="22" t="str">
        <f t="shared" si="1"/>
        <v/>
      </c>
      <c r="I9" s="18"/>
    </row>
    <row r="10" spans="1:9">
      <c r="A10" s="19"/>
      <c r="B10" s="18"/>
      <c r="C10" s="18"/>
      <c r="D10" s="18"/>
      <c r="E10" s="18"/>
      <c r="F10" s="18"/>
      <c r="G10" s="22">
        <f t="shared" si="0"/>
        <v>0.55000000000000004</v>
      </c>
      <c r="H10" s="22" t="str">
        <f t="shared" si="1"/>
        <v/>
      </c>
      <c r="I10" s="18"/>
    </row>
    <row r="11" spans="1:9">
      <c r="A11" s="19"/>
      <c r="B11" s="18"/>
      <c r="C11" s="18"/>
      <c r="D11" s="18"/>
      <c r="E11" s="18"/>
      <c r="F11" s="18"/>
      <c r="G11" s="22">
        <f t="shared" si="0"/>
        <v>0.55000000000000004</v>
      </c>
      <c r="H11" s="22" t="str">
        <f t="shared" si="1"/>
        <v/>
      </c>
      <c r="I11" s="18"/>
    </row>
    <row r="12" spans="1:9">
      <c r="A12" s="19"/>
      <c r="B12" s="18"/>
      <c r="C12" s="18"/>
      <c r="D12" s="18"/>
      <c r="E12" s="18"/>
      <c r="F12" s="18"/>
      <c r="G12" s="22">
        <f t="shared" si="0"/>
        <v>0.55000000000000004</v>
      </c>
      <c r="H12" s="22" t="str">
        <f t="shared" si="1"/>
        <v/>
      </c>
      <c r="I12" s="18"/>
    </row>
    <row r="13" spans="1:9">
      <c r="A13" s="19"/>
      <c r="B13" s="18"/>
      <c r="C13" s="18"/>
      <c r="D13" s="18"/>
      <c r="E13" s="18"/>
      <c r="F13" s="18"/>
      <c r="G13" s="22">
        <f t="shared" si="0"/>
        <v>0.55000000000000004</v>
      </c>
      <c r="H13" s="22" t="str">
        <f t="shared" si="1"/>
        <v/>
      </c>
      <c r="I13" s="18"/>
    </row>
    <row r="14" spans="1:9">
      <c r="A14" s="19"/>
      <c r="B14" s="18"/>
      <c r="C14" s="18"/>
      <c r="D14" s="18"/>
      <c r="E14" s="18"/>
      <c r="F14" s="18"/>
      <c r="G14" s="22">
        <f t="shared" si="0"/>
        <v>0.55000000000000004</v>
      </c>
      <c r="H14" s="22" t="str">
        <f t="shared" si="1"/>
        <v/>
      </c>
      <c r="I14" s="18"/>
    </row>
    <row r="15" spans="1:9">
      <c r="A15" s="19"/>
      <c r="B15" s="18"/>
      <c r="C15" s="18"/>
      <c r="D15" s="18"/>
      <c r="E15" s="18"/>
      <c r="F15" s="18"/>
      <c r="G15" s="22">
        <f t="shared" si="0"/>
        <v>0.55000000000000004</v>
      </c>
      <c r="H15" s="22" t="str">
        <f t="shared" si="1"/>
        <v/>
      </c>
      <c r="I15" s="18"/>
    </row>
    <row r="16" spans="1:9">
      <c r="A16" s="19"/>
      <c r="B16" s="18"/>
      <c r="C16" s="18"/>
      <c r="D16" s="18"/>
      <c r="E16" s="18"/>
      <c r="F16" s="18"/>
      <c r="G16" s="22">
        <f t="shared" si="0"/>
        <v>0.55000000000000004</v>
      </c>
      <c r="H16" s="22" t="str">
        <f t="shared" si="1"/>
        <v/>
      </c>
      <c r="I16" s="18"/>
    </row>
    <row r="17" spans="1:9">
      <c r="A17" s="19"/>
      <c r="B17" s="18"/>
      <c r="C17" s="18"/>
      <c r="D17" s="18"/>
      <c r="E17" s="18"/>
      <c r="F17" s="18"/>
      <c r="G17" s="22">
        <f t="shared" si="0"/>
        <v>0.55000000000000004</v>
      </c>
      <c r="H17" s="22" t="str">
        <f t="shared" si="1"/>
        <v/>
      </c>
      <c r="I17" s="18"/>
    </row>
    <row r="18" spans="1:9">
      <c r="A18" s="19"/>
      <c r="B18" s="18"/>
      <c r="C18" s="18"/>
      <c r="D18" s="18"/>
      <c r="E18" s="18"/>
      <c r="F18" s="18"/>
      <c r="G18" s="22">
        <f t="shared" si="0"/>
        <v>0.55000000000000004</v>
      </c>
      <c r="H18" s="22" t="str">
        <f t="shared" si="1"/>
        <v/>
      </c>
      <c r="I18" s="18"/>
    </row>
    <row r="19" spans="1:9">
      <c r="A19" s="19"/>
      <c r="B19" s="18"/>
      <c r="C19" s="18"/>
      <c r="D19" s="18"/>
      <c r="E19" s="18"/>
      <c r="F19" s="18"/>
      <c r="G19" s="22">
        <f t="shared" si="0"/>
        <v>0.55000000000000004</v>
      </c>
      <c r="H19" s="22" t="str">
        <f t="shared" si="1"/>
        <v/>
      </c>
      <c r="I19" s="18"/>
    </row>
    <row r="20" spans="1:9">
      <c r="A20" s="19"/>
      <c r="B20" s="18"/>
      <c r="C20" s="18"/>
      <c r="D20" s="18"/>
      <c r="E20" s="18"/>
      <c r="F20" s="18"/>
      <c r="G20" s="22">
        <f t="shared" si="0"/>
        <v>0.55000000000000004</v>
      </c>
      <c r="H20" s="22" t="str">
        <f t="shared" si="1"/>
        <v/>
      </c>
      <c r="I20" s="18"/>
    </row>
    <row r="21" spans="1:9">
      <c r="A21" s="19"/>
      <c r="B21" s="18"/>
      <c r="C21" s="18"/>
      <c r="D21" s="18"/>
      <c r="E21" s="18"/>
      <c r="F21" s="18"/>
      <c r="G21" s="22">
        <f t="shared" si="0"/>
        <v>0.55000000000000004</v>
      </c>
      <c r="H21" s="22" t="str">
        <f t="shared" si="1"/>
        <v/>
      </c>
      <c r="I21" s="18"/>
    </row>
    <row r="22" spans="1:9">
      <c r="A22" s="19"/>
      <c r="B22" s="18"/>
      <c r="C22" s="18"/>
      <c r="D22" s="18"/>
      <c r="E22" s="18"/>
      <c r="F22" s="18"/>
      <c r="G22" s="22">
        <f t="shared" si="0"/>
        <v>0.55000000000000004</v>
      </c>
      <c r="H22" s="22" t="str">
        <f t="shared" si="1"/>
        <v/>
      </c>
      <c r="I22" s="18"/>
    </row>
    <row r="23" spans="1:9">
      <c r="A23" s="19"/>
      <c r="B23" s="18"/>
      <c r="C23" s="18"/>
      <c r="D23" s="18"/>
      <c r="E23" s="18"/>
      <c r="F23" s="18"/>
      <c r="G23" s="22">
        <f t="shared" si="0"/>
        <v>0.55000000000000004</v>
      </c>
      <c r="H23" s="22" t="str">
        <f t="shared" si="1"/>
        <v/>
      </c>
      <c r="I23" s="18"/>
    </row>
    <row r="24" spans="1:9">
      <c r="A24" s="19"/>
      <c r="B24" s="18"/>
      <c r="C24" s="18"/>
      <c r="D24" s="18"/>
      <c r="E24" s="18"/>
      <c r="F24" s="18"/>
      <c r="G24" s="22">
        <f t="shared" si="0"/>
        <v>0.55000000000000004</v>
      </c>
      <c r="H24" s="22" t="str">
        <f t="shared" si="1"/>
        <v/>
      </c>
      <c r="I24" s="18"/>
    </row>
    <row r="25" spans="1:9">
      <c r="A25" s="19"/>
      <c r="B25" s="18"/>
      <c r="C25" s="18"/>
      <c r="D25" s="18"/>
      <c r="E25" s="18"/>
      <c r="F25" s="18"/>
      <c r="G25" s="22">
        <f t="shared" si="0"/>
        <v>0.55000000000000004</v>
      </c>
      <c r="H25" s="22" t="str">
        <f t="shared" si="1"/>
        <v/>
      </c>
      <c r="I25" s="18"/>
    </row>
    <row r="26" spans="1:9">
      <c r="A26" s="19"/>
      <c r="B26" s="18"/>
      <c r="C26" s="18"/>
      <c r="D26" s="18"/>
      <c r="E26" s="18"/>
      <c r="F26" s="18"/>
      <c r="G26" s="22">
        <f t="shared" si="0"/>
        <v>0.55000000000000004</v>
      </c>
      <c r="H26" s="22" t="str">
        <f t="shared" si="1"/>
        <v/>
      </c>
      <c r="I26" s="18"/>
    </row>
    <row r="27" spans="1:9">
      <c r="A27" s="19"/>
      <c r="B27" s="18"/>
      <c r="C27" s="18"/>
      <c r="D27" s="18"/>
      <c r="E27" s="18"/>
      <c r="F27" s="18"/>
      <c r="G27" s="22">
        <f t="shared" si="0"/>
        <v>0.55000000000000004</v>
      </c>
      <c r="H27" s="22" t="str">
        <f t="shared" si="1"/>
        <v/>
      </c>
      <c r="I27" s="18"/>
    </row>
    <row r="28" spans="1:9">
      <c r="A28" s="19"/>
      <c r="B28" s="18"/>
      <c r="C28" s="18"/>
      <c r="D28" s="18"/>
      <c r="E28" s="18"/>
      <c r="F28" s="18"/>
      <c r="G28" s="22">
        <f t="shared" si="0"/>
        <v>0.55000000000000004</v>
      </c>
      <c r="H28" s="22" t="str">
        <f t="shared" si="1"/>
        <v/>
      </c>
      <c r="I28" s="18"/>
    </row>
    <row r="29" spans="1:9">
      <c r="A29" s="19"/>
      <c r="B29" s="18"/>
      <c r="C29" s="18"/>
      <c r="D29" s="18"/>
      <c r="E29" s="18"/>
      <c r="F29" s="18"/>
      <c r="G29" s="22">
        <f t="shared" si="0"/>
        <v>0.55000000000000004</v>
      </c>
      <c r="H29" s="22" t="str">
        <f t="shared" si="1"/>
        <v/>
      </c>
      <c r="I29" s="18"/>
    </row>
    <row r="30" spans="1:9">
      <c r="A30" s="19"/>
      <c r="B30" s="18"/>
      <c r="C30" s="18"/>
      <c r="D30" s="18"/>
      <c r="E30" s="18"/>
      <c r="F30" s="18"/>
      <c r="G30" s="22">
        <f t="shared" si="0"/>
        <v>0.55000000000000004</v>
      </c>
      <c r="H30" s="22" t="str">
        <f t="shared" si="1"/>
        <v/>
      </c>
      <c r="I30" s="18"/>
    </row>
    <row r="31" spans="1:9">
      <c r="A31" s="19"/>
      <c r="B31" s="18"/>
      <c r="C31" s="18"/>
      <c r="D31" s="18"/>
      <c r="E31" s="18"/>
      <c r="F31" s="18"/>
      <c r="G31" s="22">
        <f t="shared" si="0"/>
        <v>0.55000000000000004</v>
      </c>
      <c r="H31" s="22" t="str">
        <f t="shared" si="1"/>
        <v/>
      </c>
      <c r="I31" s="18"/>
    </row>
    <row r="32" spans="1:9">
      <c r="A32" s="19"/>
      <c r="B32" s="18"/>
      <c r="C32" s="18"/>
      <c r="D32" s="18"/>
      <c r="E32" s="18"/>
      <c r="F32" s="18"/>
      <c r="G32" s="22">
        <f t="shared" si="0"/>
        <v>0.55000000000000004</v>
      </c>
      <c r="H32" s="22" t="str">
        <f t="shared" si="1"/>
        <v/>
      </c>
      <c r="I32" s="18"/>
    </row>
    <row r="33" spans="1:9">
      <c r="A33" s="19"/>
      <c r="B33" s="18"/>
      <c r="C33" s="18"/>
      <c r="D33" s="18"/>
      <c r="E33" s="18"/>
      <c r="F33" s="18"/>
      <c r="G33" s="22">
        <f t="shared" si="0"/>
        <v>0.55000000000000004</v>
      </c>
      <c r="H33" s="22" t="str">
        <f t="shared" si="1"/>
        <v/>
      </c>
      <c r="I33" s="18"/>
    </row>
    <row r="34" spans="1:9">
      <c r="A34" s="19"/>
      <c r="B34" s="18"/>
      <c r="C34" s="18"/>
      <c r="D34" s="18"/>
      <c r="E34" s="18"/>
      <c r="F34" s="18"/>
      <c r="G34" s="22">
        <f t="shared" si="0"/>
        <v>0.55000000000000004</v>
      </c>
      <c r="H34" s="22" t="str">
        <f t="shared" si="1"/>
        <v/>
      </c>
      <c r="I34" s="18"/>
    </row>
    <row r="35" spans="1:9">
      <c r="A35" s="19"/>
      <c r="B35" s="18"/>
      <c r="C35" s="18"/>
      <c r="D35" s="18"/>
      <c r="E35" s="18"/>
      <c r="F35" s="18"/>
      <c r="G35" s="22">
        <f t="shared" si="0"/>
        <v>0.55000000000000004</v>
      </c>
      <c r="H35" s="22" t="str">
        <f t="shared" si="1"/>
        <v/>
      </c>
      <c r="I35" s="18"/>
    </row>
    <row r="36" spans="1:9">
      <c r="A36" s="19"/>
      <c r="B36" s="18"/>
      <c r="C36" s="18"/>
      <c r="D36" s="18"/>
      <c r="E36" s="18"/>
      <c r="F36" s="18"/>
      <c r="G36" s="22">
        <f t="shared" si="0"/>
        <v>0.55000000000000004</v>
      </c>
      <c r="H36" s="22" t="str">
        <f t="shared" si="1"/>
        <v/>
      </c>
      <c r="I36" s="18"/>
    </row>
    <row r="37" spans="1:9">
      <c r="A37" s="19"/>
      <c r="B37" s="18"/>
      <c r="C37" s="18"/>
      <c r="D37" s="18"/>
      <c r="E37" s="18"/>
      <c r="F37" s="18"/>
      <c r="G37" s="22">
        <f t="shared" si="0"/>
        <v>0.55000000000000004</v>
      </c>
      <c r="H37" s="22" t="str">
        <f t="shared" si="1"/>
        <v/>
      </c>
      <c r="I37" s="18"/>
    </row>
    <row r="38" spans="1:9">
      <c r="A38" s="19"/>
      <c r="B38" s="18"/>
      <c r="C38" s="18"/>
      <c r="D38" s="18"/>
      <c r="E38" s="18"/>
      <c r="F38" s="18"/>
      <c r="G38" s="22">
        <f t="shared" si="0"/>
        <v>0.55000000000000004</v>
      </c>
      <c r="H38" s="22" t="str">
        <f t="shared" si="1"/>
        <v/>
      </c>
      <c r="I38" s="18"/>
    </row>
    <row r="39" spans="1:9">
      <c r="A39" s="19"/>
      <c r="B39" s="18"/>
      <c r="C39" s="18"/>
      <c r="D39" s="18"/>
      <c r="E39" s="18"/>
      <c r="F39" s="18"/>
      <c r="G39" s="22">
        <f t="shared" si="0"/>
        <v>0.55000000000000004</v>
      </c>
      <c r="H39" s="22" t="str">
        <f t="shared" si="1"/>
        <v/>
      </c>
      <c r="I39" s="18"/>
    </row>
    <row r="40" spans="1:9">
      <c r="A40" s="19"/>
      <c r="B40" s="18"/>
      <c r="C40" s="18"/>
      <c r="D40" s="18"/>
      <c r="E40" s="18"/>
      <c r="F40" s="18"/>
      <c r="G40" s="22">
        <f t="shared" si="0"/>
        <v>0.55000000000000004</v>
      </c>
      <c r="H40" s="22" t="str">
        <f t="shared" si="1"/>
        <v/>
      </c>
      <c r="I40" s="18"/>
    </row>
    <row r="41" spans="1:9">
      <c r="A41" s="19"/>
      <c r="B41" s="18"/>
      <c r="C41" s="18"/>
      <c r="D41" s="18"/>
      <c r="E41" s="18"/>
      <c r="F41" s="18"/>
      <c r="G41" s="22">
        <f t="shared" si="0"/>
        <v>0.55000000000000004</v>
      </c>
      <c r="H41" s="22" t="str">
        <f t="shared" si="1"/>
        <v/>
      </c>
      <c r="I41" s="18"/>
    </row>
    <row r="42" spans="1:9">
      <c r="A42" s="19"/>
      <c r="B42" s="18"/>
      <c r="C42" s="18"/>
      <c r="D42" s="18"/>
      <c r="E42" s="18"/>
      <c r="F42" s="18"/>
      <c r="G42" s="22">
        <f t="shared" si="0"/>
        <v>0.55000000000000004</v>
      </c>
      <c r="H42" s="22" t="str">
        <f t="shared" si="1"/>
        <v/>
      </c>
      <c r="I42" s="18"/>
    </row>
    <row r="43" spans="1:9">
      <c r="A43" s="19"/>
      <c r="B43" s="18"/>
      <c r="C43" s="18"/>
      <c r="D43" s="18"/>
      <c r="E43" s="18"/>
      <c r="F43" s="18"/>
      <c r="G43" s="22">
        <f t="shared" si="0"/>
        <v>0.55000000000000004</v>
      </c>
      <c r="H43" s="22" t="str">
        <f t="shared" si="1"/>
        <v/>
      </c>
      <c r="I43" s="18"/>
    </row>
    <row r="44" spans="1:9">
      <c r="A44" s="19"/>
      <c r="B44" s="18"/>
      <c r="C44" s="18"/>
      <c r="D44" s="18"/>
      <c r="E44" s="18"/>
      <c r="F44" s="18"/>
      <c r="G44" s="22">
        <f t="shared" si="0"/>
        <v>0.55000000000000004</v>
      </c>
      <c r="H44" s="22" t="str">
        <f t="shared" si="1"/>
        <v/>
      </c>
      <c r="I44" s="18"/>
    </row>
    <row r="45" spans="1:9">
      <c r="A45" s="19"/>
      <c r="B45" s="18"/>
      <c r="C45" s="18"/>
      <c r="D45" s="18"/>
      <c r="E45" s="18"/>
      <c r="F45" s="18"/>
      <c r="G45" s="22">
        <f t="shared" si="0"/>
        <v>0.55000000000000004</v>
      </c>
      <c r="H45" s="22" t="str">
        <f t="shared" si="1"/>
        <v/>
      </c>
      <c r="I45" s="18"/>
    </row>
    <row r="46" spans="1:9">
      <c r="A46" s="19"/>
      <c r="B46" s="18"/>
      <c r="C46" s="18"/>
      <c r="D46" s="18"/>
      <c r="E46" s="18"/>
      <c r="F46" s="18"/>
      <c r="G46" s="22">
        <f t="shared" si="0"/>
        <v>0.55000000000000004</v>
      </c>
      <c r="H46" s="22" t="str">
        <f t="shared" si="1"/>
        <v/>
      </c>
      <c r="I46" s="18"/>
    </row>
    <row r="47" spans="1:9">
      <c r="A47" s="19"/>
      <c r="B47" s="18"/>
      <c r="C47" s="18"/>
      <c r="D47" s="18"/>
      <c r="E47" s="18"/>
      <c r="F47" s="18"/>
      <c r="G47" s="22">
        <f t="shared" si="0"/>
        <v>0.55000000000000004</v>
      </c>
      <c r="H47" s="22" t="str">
        <f t="shared" si="1"/>
        <v/>
      </c>
      <c r="I47" s="18"/>
    </row>
    <row r="48" spans="1:9">
      <c r="A48" s="19"/>
      <c r="B48" s="18"/>
      <c r="C48" s="18"/>
      <c r="D48" s="18"/>
      <c r="E48" s="18"/>
      <c r="F48" s="18"/>
      <c r="G48" s="22">
        <f t="shared" si="0"/>
        <v>0.55000000000000004</v>
      </c>
      <c r="H48" s="22" t="str">
        <f t="shared" si="1"/>
        <v/>
      </c>
      <c r="I48" s="18"/>
    </row>
    <row r="49" spans="1:9">
      <c r="A49" s="19"/>
      <c r="B49" s="18"/>
      <c r="C49" s="18"/>
      <c r="D49" s="18"/>
      <c r="E49" s="18"/>
      <c r="F49" s="18"/>
      <c r="G49" s="22">
        <f t="shared" si="0"/>
        <v>0.55000000000000004</v>
      </c>
      <c r="H49" s="22" t="str">
        <f t="shared" si="1"/>
        <v/>
      </c>
      <c r="I49" s="18"/>
    </row>
    <row r="50" spans="1:9">
      <c r="A50" s="19"/>
      <c r="B50" s="18"/>
      <c r="C50" s="18"/>
      <c r="D50" s="18"/>
      <c r="E50" s="18"/>
      <c r="F50" s="18"/>
      <c r="G50" s="22">
        <f t="shared" si="0"/>
        <v>0.55000000000000004</v>
      </c>
      <c r="H50" s="22" t="str">
        <f t="shared" si="1"/>
        <v/>
      </c>
      <c r="I50" s="18"/>
    </row>
    <row r="51" spans="1:9">
      <c r="A51" s="19"/>
      <c r="B51" s="18"/>
      <c r="C51" s="18"/>
      <c r="D51" s="18"/>
      <c r="E51" s="18"/>
      <c r="F51" s="18"/>
      <c r="G51" s="22">
        <f t="shared" si="0"/>
        <v>0.55000000000000004</v>
      </c>
      <c r="H51" s="22" t="str">
        <f t="shared" si="1"/>
        <v/>
      </c>
      <c r="I51" s="18"/>
    </row>
    <row r="52" spans="1:9">
      <c r="A52" s="19"/>
      <c r="B52" s="18"/>
      <c r="C52" s="18"/>
      <c r="D52" s="18"/>
      <c r="E52" s="18"/>
      <c r="F52" s="18"/>
      <c r="G52" s="22">
        <f t="shared" si="0"/>
        <v>0.55000000000000004</v>
      </c>
      <c r="H52" s="22" t="str">
        <f t="shared" si="1"/>
        <v/>
      </c>
      <c r="I52" s="18"/>
    </row>
    <row r="53" spans="1:9">
      <c r="A53" s="19"/>
      <c r="B53" s="18"/>
      <c r="C53" s="18"/>
      <c r="D53" s="18"/>
      <c r="E53" s="18"/>
      <c r="F53" s="18"/>
      <c r="G53" s="22">
        <f t="shared" si="0"/>
        <v>0.55000000000000004</v>
      </c>
      <c r="H53" s="22" t="str">
        <f t="shared" si="1"/>
        <v/>
      </c>
      <c r="I53" s="18"/>
    </row>
    <row r="54" spans="1:9">
      <c r="A54" s="19"/>
      <c r="B54" s="18"/>
      <c r="C54" s="18"/>
      <c r="D54" s="18"/>
      <c r="E54" s="18"/>
      <c r="F54" s="18"/>
      <c r="G54" s="22">
        <f t="shared" si="0"/>
        <v>0.55000000000000004</v>
      </c>
      <c r="H54" s="22" t="str">
        <f t="shared" si="1"/>
        <v/>
      </c>
      <c r="I54" s="18"/>
    </row>
    <row r="55" spans="1:9">
      <c r="A55" s="19"/>
      <c r="B55" s="18"/>
      <c r="C55" s="18"/>
      <c r="D55" s="18"/>
      <c r="E55" s="18"/>
      <c r="F55" s="18"/>
      <c r="G55" s="22">
        <f t="shared" si="0"/>
        <v>0.55000000000000004</v>
      </c>
      <c r="H55" s="22" t="str">
        <f t="shared" si="1"/>
        <v/>
      </c>
      <c r="I55" s="18"/>
    </row>
    <row r="56" spans="1:9">
      <c r="A56" s="19"/>
      <c r="B56" s="18"/>
      <c r="C56" s="18"/>
      <c r="D56" s="18"/>
      <c r="E56" s="18"/>
      <c r="F56" s="18"/>
      <c r="G56" s="22">
        <f t="shared" si="0"/>
        <v>0.55000000000000004</v>
      </c>
      <c r="H56" s="22" t="str">
        <f t="shared" si="1"/>
        <v/>
      </c>
      <c r="I56" s="18"/>
    </row>
    <row r="57" spans="1:9">
      <c r="A57" s="19"/>
      <c r="B57" s="18"/>
      <c r="C57" s="18"/>
      <c r="D57" s="18"/>
      <c r="E57" s="18"/>
      <c r="F57" s="18"/>
      <c r="G57" s="22">
        <f t="shared" si="0"/>
        <v>0.55000000000000004</v>
      </c>
      <c r="H57" s="22" t="str">
        <f t="shared" si="1"/>
        <v/>
      </c>
      <c r="I57" s="18"/>
    </row>
    <row r="58" spans="1:9">
      <c r="A58" s="19"/>
      <c r="B58" s="18"/>
      <c r="C58" s="18"/>
      <c r="D58" s="18"/>
      <c r="E58" s="18"/>
      <c r="F58" s="18"/>
      <c r="G58" s="22">
        <f t="shared" si="0"/>
        <v>0.55000000000000004</v>
      </c>
      <c r="H58" s="22" t="str">
        <f t="shared" si="1"/>
        <v/>
      </c>
      <c r="I58" s="18"/>
    </row>
    <row r="59" spans="1:9">
      <c r="A59" s="19"/>
      <c r="B59" s="18"/>
      <c r="C59" s="18"/>
      <c r="D59" s="18"/>
      <c r="E59" s="18"/>
      <c r="F59" s="18"/>
      <c r="G59" s="22">
        <f t="shared" si="0"/>
        <v>0.55000000000000004</v>
      </c>
      <c r="H59" s="22" t="str">
        <f t="shared" si="1"/>
        <v/>
      </c>
      <c r="I59" s="18"/>
    </row>
    <row r="60" spans="1:9">
      <c r="A60" s="19"/>
      <c r="B60" s="18"/>
      <c r="C60" s="18"/>
      <c r="D60" s="18"/>
      <c r="E60" s="18"/>
      <c r="F60" s="18"/>
      <c r="G60" s="22">
        <f t="shared" si="0"/>
        <v>0.55000000000000004</v>
      </c>
      <c r="H60" s="22" t="str">
        <f t="shared" si="1"/>
        <v/>
      </c>
      <c r="I60" s="18"/>
    </row>
    <row r="61" spans="1:9">
      <c r="A61" s="19"/>
      <c r="B61" s="18"/>
      <c r="C61" s="18"/>
      <c r="D61" s="18"/>
      <c r="E61" s="18"/>
      <c r="F61" s="18"/>
      <c r="G61" s="22">
        <f t="shared" si="0"/>
        <v>0.55000000000000004</v>
      </c>
      <c r="H61" s="22" t="str">
        <f t="shared" si="1"/>
        <v/>
      </c>
      <c r="I61" s="18"/>
    </row>
    <row r="62" spans="1:9">
      <c r="A62" s="19"/>
      <c r="B62" s="18"/>
      <c r="C62" s="18"/>
      <c r="D62" s="18"/>
      <c r="E62" s="18"/>
      <c r="F62" s="18"/>
      <c r="G62" s="22">
        <f t="shared" si="0"/>
        <v>0.55000000000000004</v>
      </c>
      <c r="H62" s="22" t="str">
        <f t="shared" si="1"/>
        <v/>
      </c>
      <c r="I62" s="18"/>
    </row>
    <row r="63" spans="1:9">
      <c r="A63" s="19"/>
      <c r="B63" s="18"/>
      <c r="C63" s="18"/>
      <c r="D63" s="18"/>
      <c r="E63" s="18"/>
      <c r="F63" s="18"/>
      <c r="G63" s="22">
        <f t="shared" si="0"/>
        <v>0.55000000000000004</v>
      </c>
      <c r="H63" s="22" t="str">
        <f t="shared" si="1"/>
        <v/>
      </c>
      <c r="I63" s="18"/>
    </row>
    <row r="64" spans="1:9">
      <c r="A64" s="19"/>
      <c r="B64" s="18"/>
      <c r="C64" s="18"/>
      <c r="D64" s="18"/>
      <c r="E64" s="18"/>
      <c r="F64" s="18"/>
      <c r="G64" s="22">
        <f t="shared" si="0"/>
        <v>0.55000000000000004</v>
      </c>
      <c r="H64" s="22" t="str">
        <f t="shared" si="1"/>
        <v/>
      </c>
      <c r="I64" s="18"/>
    </row>
    <row r="65" spans="1:9">
      <c r="A65" s="19"/>
      <c r="B65" s="18"/>
      <c r="C65" s="18"/>
      <c r="D65" s="18"/>
      <c r="E65" s="18"/>
      <c r="F65" s="18"/>
      <c r="G65" s="22">
        <f t="shared" si="0"/>
        <v>0.55000000000000004</v>
      </c>
      <c r="H65" s="22" t="str">
        <f t="shared" si="1"/>
        <v/>
      </c>
      <c r="I65" s="18"/>
    </row>
    <row r="66" spans="1:9">
      <c r="A66" s="19"/>
      <c r="B66" s="18"/>
      <c r="C66" s="18"/>
      <c r="D66" s="18"/>
      <c r="E66" s="18"/>
      <c r="F66" s="18"/>
      <c r="G66" s="22">
        <f t="shared" ref="G66:G129" si="2">IF(E66="Motorcycle",0.24,IF(F66&lt;=10000,0.55,0.25))</f>
        <v>0.55000000000000004</v>
      </c>
      <c r="H66" s="22" t="str">
        <f t="shared" ref="H66:H129" si="3">IF(F66="","",F66*G66)</f>
        <v/>
      </c>
      <c r="I66" s="18"/>
    </row>
    <row r="67" spans="1:9">
      <c r="A67" s="19"/>
      <c r="B67" s="18"/>
      <c r="C67" s="18"/>
      <c r="D67" s="18"/>
      <c r="E67" s="18"/>
      <c r="F67" s="18"/>
      <c r="G67" s="22">
        <f t="shared" si="2"/>
        <v>0.55000000000000004</v>
      </c>
      <c r="H67" s="22" t="str">
        <f t="shared" si="3"/>
        <v/>
      </c>
      <c r="I67" s="18"/>
    </row>
    <row r="68" spans="1:9">
      <c r="A68" s="19"/>
      <c r="B68" s="18"/>
      <c r="C68" s="18"/>
      <c r="D68" s="18"/>
      <c r="E68" s="18"/>
      <c r="F68" s="18"/>
      <c r="G68" s="22">
        <f t="shared" si="2"/>
        <v>0.55000000000000004</v>
      </c>
      <c r="H68" s="22" t="str">
        <f t="shared" si="3"/>
        <v/>
      </c>
      <c r="I68" s="18"/>
    </row>
    <row r="69" spans="1:9">
      <c r="A69" s="19"/>
      <c r="B69" s="18"/>
      <c r="C69" s="18"/>
      <c r="D69" s="18"/>
      <c r="E69" s="18"/>
      <c r="F69" s="18"/>
      <c r="G69" s="22">
        <f t="shared" si="2"/>
        <v>0.55000000000000004</v>
      </c>
      <c r="H69" s="22" t="str">
        <f t="shared" si="3"/>
        <v/>
      </c>
      <c r="I69" s="18"/>
    </row>
    <row r="70" spans="1:9">
      <c r="A70" s="19"/>
      <c r="B70" s="18"/>
      <c r="C70" s="18"/>
      <c r="D70" s="18"/>
      <c r="E70" s="18"/>
      <c r="F70" s="18"/>
      <c r="G70" s="22">
        <f t="shared" si="2"/>
        <v>0.55000000000000004</v>
      </c>
      <c r="H70" s="22" t="str">
        <f t="shared" si="3"/>
        <v/>
      </c>
      <c r="I70" s="18"/>
    </row>
    <row r="71" spans="1:9">
      <c r="A71" s="19"/>
      <c r="B71" s="18"/>
      <c r="C71" s="18"/>
      <c r="D71" s="18"/>
      <c r="E71" s="18"/>
      <c r="F71" s="18"/>
      <c r="G71" s="22">
        <f t="shared" si="2"/>
        <v>0.55000000000000004</v>
      </c>
      <c r="H71" s="22" t="str">
        <f t="shared" si="3"/>
        <v/>
      </c>
      <c r="I71" s="18"/>
    </row>
    <row r="72" spans="1:9">
      <c r="A72" s="19"/>
      <c r="B72" s="18"/>
      <c r="C72" s="18"/>
      <c r="D72" s="18"/>
      <c r="E72" s="18"/>
      <c r="F72" s="18"/>
      <c r="G72" s="22">
        <f t="shared" si="2"/>
        <v>0.55000000000000004</v>
      </c>
      <c r="H72" s="22" t="str">
        <f t="shared" si="3"/>
        <v/>
      </c>
      <c r="I72" s="18"/>
    </row>
    <row r="73" spans="1:9">
      <c r="A73" s="19"/>
      <c r="B73" s="18"/>
      <c r="C73" s="18"/>
      <c r="D73" s="18"/>
      <c r="E73" s="18"/>
      <c r="F73" s="18"/>
      <c r="G73" s="22">
        <f t="shared" si="2"/>
        <v>0.55000000000000004</v>
      </c>
      <c r="H73" s="22" t="str">
        <f t="shared" si="3"/>
        <v/>
      </c>
      <c r="I73" s="18"/>
    </row>
    <row r="74" spans="1:9">
      <c r="A74" s="19"/>
      <c r="B74" s="18"/>
      <c r="C74" s="18"/>
      <c r="D74" s="18"/>
      <c r="E74" s="18"/>
      <c r="F74" s="18"/>
      <c r="G74" s="22">
        <f t="shared" si="2"/>
        <v>0.55000000000000004</v>
      </c>
      <c r="H74" s="22" t="str">
        <f t="shared" si="3"/>
        <v/>
      </c>
      <c r="I74" s="18"/>
    </row>
    <row r="75" spans="1:9">
      <c r="A75" s="19"/>
      <c r="B75" s="18"/>
      <c r="C75" s="18"/>
      <c r="D75" s="18"/>
      <c r="E75" s="18"/>
      <c r="F75" s="18"/>
      <c r="G75" s="22">
        <f t="shared" si="2"/>
        <v>0.55000000000000004</v>
      </c>
      <c r="H75" s="22" t="str">
        <f t="shared" si="3"/>
        <v/>
      </c>
      <c r="I75" s="18"/>
    </row>
    <row r="76" spans="1:9">
      <c r="A76" s="19"/>
      <c r="B76" s="18"/>
      <c r="C76" s="18"/>
      <c r="D76" s="18"/>
      <c r="E76" s="18"/>
      <c r="F76" s="18"/>
      <c r="G76" s="22">
        <f t="shared" si="2"/>
        <v>0.55000000000000004</v>
      </c>
      <c r="H76" s="22" t="str">
        <f t="shared" si="3"/>
        <v/>
      </c>
      <c r="I76" s="18"/>
    </row>
    <row r="77" spans="1:9">
      <c r="A77" s="19"/>
      <c r="B77" s="18"/>
      <c r="C77" s="18"/>
      <c r="D77" s="18"/>
      <c r="E77" s="18"/>
      <c r="F77" s="18"/>
      <c r="G77" s="22">
        <f t="shared" si="2"/>
        <v>0.55000000000000004</v>
      </c>
      <c r="H77" s="22" t="str">
        <f t="shared" si="3"/>
        <v/>
      </c>
      <c r="I77" s="18"/>
    </row>
    <row r="78" spans="1:9">
      <c r="A78" s="19"/>
      <c r="B78" s="18"/>
      <c r="C78" s="18"/>
      <c r="D78" s="18"/>
      <c r="E78" s="18"/>
      <c r="F78" s="18"/>
      <c r="G78" s="22">
        <f t="shared" si="2"/>
        <v>0.55000000000000004</v>
      </c>
      <c r="H78" s="22" t="str">
        <f t="shared" si="3"/>
        <v/>
      </c>
      <c r="I78" s="18"/>
    </row>
    <row r="79" spans="1:9">
      <c r="A79" s="19"/>
      <c r="B79" s="18"/>
      <c r="C79" s="18"/>
      <c r="D79" s="18"/>
      <c r="E79" s="18"/>
      <c r="F79" s="18"/>
      <c r="G79" s="22">
        <f t="shared" si="2"/>
        <v>0.55000000000000004</v>
      </c>
      <c r="H79" s="22" t="str">
        <f t="shared" si="3"/>
        <v/>
      </c>
      <c r="I79" s="18"/>
    </row>
    <row r="80" spans="1:9">
      <c r="A80" s="19"/>
      <c r="B80" s="18"/>
      <c r="C80" s="18"/>
      <c r="D80" s="18"/>
      <c r="E80" s="18"/>
      <c r="F80" s="18"/>
      <c r="G80" s="22">
        <f t="shared" si="2"/>
        <v>0.55000000000000004</v>
      </c>
      <c r="H80" s="22" t="str">
        <f t="shared" si="3"/>
        <v/>
      </c>
      <c r="I80" s="18"/>
    </row>
    <row r="81" spans="1:9">
      <c r="A81" s="19"/>
      <c r="B81" s="18"/>
      <c r="C81" s="18"/>
      <c r="D81" s="18"/>
      <c r="E81" s="18"/>
      <c r="F81" s="18"/>
      <c r="G81" s="22">
        <f t="shared" si="2"/>
        <v>0.55000000000000004</v>
      </c>
      <c r="H81" s="22" t="str">
        <f t="shared" si="3"/>
        <v/>
      </c>
      <c r="I81" s="18"/>
    </row>
    <row r="82" spans="1:9">
      <c r="A82" s="19"/>
      <c r="B82" s="18"/>
      <c r="C82" s="18"/>
      <c r="D82" s="18"/>
      <c r="E82" s="18"/>
      <c r="F82" s="18"/>
      <c r="G82" s="22">
        <f t="shared" si="2"/>
        <v>0.55000000000000004</v>
      </c>
      <c r="H82" s="22" t="str">
        <f t="shared" si="3"/>
        <v/>
      </c>
      <c r="I82" s="18"/>
    </row>
    <row r="83" spans="1:9">
      <c r="A83" s="19"/>
      <c r="B83" s="18"/>
      <c r="C83" s="18"/>
      <c r="D83" s="18"/>
      <c r="E83" s="18"/>
      <c r="F83" s="18"/>
      <c r="G83" s="22">
        <f t="shared" si="2"/>
        <v>0.55000000000000004</v>
      </c>
      <c r="H83" s="22" t="str">
        <f t="shared" si="3"/>
        <v/>
      </c>
      <c r="I83" s="18"/>
    </row>
    <row r="84" spans="1:9">
      <c r="A84" s="19"/>
      <c r="B84" s="18"/>
      <c r="C84" s="18"/>
      <c r="D84" s="18"/>
      <c r="E84" s="18"/>
      <c r="F84" s="18"/>
      <c r="G84" s="22">
        <f t="shared" si="2"/>
        <v>0.55000000000000004</v>
      </c>
      <c r="H84" s="22" t="str">
        <f t="shared" si="3"/>
        <v/>
      </c>
      <c r="I84" s="18"/>
    </row>
    <row r="85" spans="1:9">
      <c r="A85" s="19"/>
      <c r="B85" s="18"/>
      <c r="C85" s="18"/>
      <c r="D85" s="18"/>
      <c r="E85" s="18"/>
      <c r="F85" s="18"/>
      <c r="G85" s="22">
        <f t="shared" si="2"/>
        <v>0.55000000000000004</v>
      </c>
      <c r="H85" s="22" t="str">
        <f t="shared" si="3"/>
        <v/>
      </c>
      <c r="I85" s="18"/>
    </row>
    <row r="86" spans="1:9">
      <c r="A86" s="19"/>
      <c r="B86" s="18"/>
      <c r="C86" s="18"/>
      <c r="D86" s="18"/>
      <c r="E86" s="18"/>
      <c r="F86" s="18"/>
      <c r="G86" s="22">
        <f t="shared" si="2"/>
        <v>0.55000000000000004</v>
      </c>
      <c r="H86" s="22" t="str">
        <f t="shared" si="3"/>
        <v/>
      </c>
      <c r="I86" s="18"/>
    </row>
    <row r="87" spans="1:9">
      <c r="A87" s="19"/>
      <c r="B87" s="18"/>
      <c r="C87" s="18"/>
      <c r="D87" s="18"/>
      <c r="E87" s="18"/>
      <c r="F87" s="18"/>
      <c r="G87" s="22">
        <f t="shared" si="2"/>
        <v>0.55000000000000004</v>
      </c>
      <c r="H87" s="22" t="str">
        <f t="shared" si="3"/>
        <v/>
      </c>
      <c r="I87" s="18"/>
    </row>
    <row r="88" spans="1:9">
      <c r="A88" s="19"/>
      <c r="B88" s="18"/>
      <c r="C88" s="18"/>
      <c r="D88" s="18"/>
      <c r="E88" s="18"/>
      <c r="F88" s="18"/>
      <c r="G88" s="22">
        <f t="shared" si="2"/>
        <v>0.55000000000000004</v>
      </c>
      <c r="H88" s="22" t="str">
        <f t="shared" si="3"/>
        <v/>
      </c>
      <c r="I88" s="18"/>
    </row>
    <row r="89" spans="1:9">
      <c r="A89" s="19"/>
      <c r="B89" s="18"/>
      <c r="C89" s="18"/>
      <c r="D89" s="18"/>
      <c r="E89" s="18"/>
      <c r="F89" s="18"/>
      <c r="G89" s="22">
        <f t="shared" si="2"/>
        <v>0.55000000000000004</v>
      </c>
      <c r="H89" s="22" t="str">
        <f t="shared" si="3"/>
        <v/>
      </c>
      <c r="I89" s="18"/>
    </row>
    <row r="90" spans="1:9">
      <c r="A90" s="19"/>
      <c r="B90" s="18"/>
      <c r="C90" s="18"/>
      <c r="D90" s="18"/>
      <c r="E90" s="18"/>
      <c r="F90" s="18"/>
      <c r="G90" s="22">
        <f t="shared" si="2"/>
        <v>0.55000000000000004</v>
      </c>
      <c r="H90" s="22" t="str">
        <f t="shared" si="3"/>
        <v/>
      </c>
      <c r="I90" s="18"/>
    </row>
    <row r="91" spans="1:9">
      <c r="A91" s="19"/>
      <c r="B91" s="18"/>
      <c r="C91" s="18"/>
      <c r="D91" s="18"/>
      <c r="E91" s="18"/>
      <c r="F91" s="18"/>
      <c r="G91" s="22">
        <f t="shared" si="2"/>
        <v>0.55000000000000004</v>
      </c>
      <c r="H91" s="22" t="str">
        <f t="shared" si="3"/>
        <v/>
      </c>
      <c r="I91" s="18"/>
    </row>
    <row r="92" spans="1:9">
      <c r="A92" s="19"/>
      <c r="B92" s="18"/>
      <c r="C92" s="18"/>
      <c r="D92" s="18"/>
      <c r="E92" s="18"/>
      <c r="F92" s="18"/>
      <c r="G92" s="22">
        <f t="shared" si="2"/>
        <v>0.55000000000000004</v>
      </c>
      <c r="H92" s="22" t="str">
        <f t="shared" si="3"/>
        <v/>
      </c>
      <c r="I92" s="18"/>
    </row>
    <row r="93" spans="1:9">
      <c r="A93" s="19"/>
      <c r="B93" s="18"/>
      <c r="C93" s="18"/>
      <c r="D93" s="18"/>
      <c r="E93" s="18"/>
      <c r="F93" s="18"/>
      <c r="G93" s="22">
        <f t="shared" si="2"/>
        <v>0.55000000000000004</v>
      </c>
      <c r="H93" s="22" t="str">
        <f t="shared" si="3"/>
        <v/>
      </c>
      <c r="I93" s="18"/>
    </row>
    <row r="94" spans="1:9">
      <c r="A94" s="19"/>
      <c r="B94" s="18"/>
      <c r="C94" s="18"/>
      <c r="D94" s="18"/>
      <c r="E94" s="18"/>
      <c r="F94" s="18"/>
      <c r="G94" s="22">
        <f t="shared" si="2"/>
        <v>0.55000000000000004</v>
      </c>
      <c r="H94" s="22" t="str">
        <f t="shared" si="3"/>
        <v/>
      </c>
      <c r="I94" s="18"/>
    </row>
    <row r="95" spans="1:9">
      <c r="A95" s="19"/>
      <c r="B95" s="18"/>
      <c r="C95" s="18"/>
      <c r="D95" s="18"/>
      <c r="E95" s="18"/>
      <c r="F95" s="18"/>
      <c r="G95" s="22">
        <f t="shared" si="2"/>
        <v>0.55000000000000004</v>
      </c>
      <c r="H95" s="22" t="str">
        <f t="shared" si="3"/>
        <v/>
      </c>
      <c r="I95" s="18"/>
    </row>
    <row r="96" spans="1:9">
      <c r="A96" s="19"/>
      <c r="B96" s="18"/>
      <c r="C96" s="18"/>
      <c r="D96" s="18"/>
      <c r="E96" s="18"/>
      <c r="F96" s="18"/>
      <c r="G96" s="22">
        <f t="shared" si="2"/>
        <v>0.55000000000000004</v>
      </c>
      <c r="H96" s="22" t="str">
        <f t="shared" si="3"/>
        <v/>
      </c>
      <c r="I96" s="18"/>
    </row>
    <row r="97" spans="1:9">
      <c r="A97" s="19"/>
      <c r="B97" s="18"/>
      <c r="C97" s="18"/>
      <c r="D97" s="18"/>
      <c r="E97" s="18"/>
      <c r="F97" s="18"/>
      <c r="G97" s="22">
        <f t="shared" si="2"/>
        <v>0.55000000000000004</v>
      </c>
      <c r="H97" s="22" t="str">
        <f t="shared" si="3"/>
        <v/>
      </c>
      <c r="I97" s="18"/>
    </row>
    <row r="98" spans="1:9">
      <c r="A98" s="19"/>
      <c r="B98" s="18"/>
      <c r="C98" s="18"/>
      <c r="D98" s="18"/>
      <c r="E98" s="18"/>
      <c r="F98" s="18"/>
      <c r="G98" s="22">
        <f t="shared" si="2"/>
        <v>0.55000000000000004</v>
      </c>
      <c r="H98" s="22" t="str">
        <f t="shared" si="3"/>
        <v/>
      </c>
      <c r="I98" s="18"/>
    </row>
    <row r="99" spans="1:9">
      <c r="A99" s="19"/>
      <c r="B99" s="18"/>
      <c r="C99" s="18"/>
      <c r="D99" s="18"/>
      <c r="E99" s="18"/>
      <c r="F99" s="18"/>
      <c r="G99" s="22">
        <f t="shared" si="2"/>
        <v>0.55000000000000004</v>
      </c>
      <c r="H99" s="22" t="str">
        <f t="shared" si="3"/>
        <v/>
      </c>
      <c r="I99" s="18"/>
    </row>
    <row r="100" spans="1:9">
      <c r="A100" s="19"/>
      <c r="B100" s="18"/>
      <c r="C100" s="18"/>
      <c r="D100" s="18"/>
      <c r="E100" s="18"/>
      <c r="F100" s="18"/>
      <c r="G100" s="22">
        <f t="shared" si="2"/>
        <v>0.55000000000000004</v>
      </c>
      <c r="H100" s="22" t="str">
        <f t="shared" si="3"/>
        <v/>
      </c>
      <c r="I100" s="18"/>
    </row>
    <row r="101" spans="1:9">
      <c r="A101" s="19"/>
      <c r="B101" s="18"/>
      <c r="C101" s="18"/>
      <c r="D101" s="18"/>
      <c r="E101" s="18"/>
      <c r="F101" s="18"/>
      <c r="G101" s="22">
        <f t="shared" si="2"/>
        <v>0.55000000000000004</v>
      </c>
      <c r="H101" s="22" t="str">
        <f t="shared" si="3"/>
        <v/>
      </c>
      <c r="I101" s="18"/>
    </row>
    <row r="102" spans="1:9">
      <c r="A102" s="19"/>
      <c r="B102" s="18"/>
      <c r="C102" s="18"/>
      <c r="D102" s="18"/>
      <c r="E102" s="18"/>
      <c r="F102" s="18"/>
      <c r="G102" s="22">
        <f t="shared" si="2"/>
        <v>0.55000000000000004</v>
      </c>
      <c r="H102" s="22" t="str">
        <f t="shared" si="3"/>
        <v/>
      </c>
      <c r="I102" s="18"/>
    </row>
    <row r="103" spans="1:9">
      <c r="A103" s="19"/>
      <c r="B103" s="18"/>
      <c r="C103" s="18"/>
      <c r="D103" s="18"/>
      <c r="E103" s="18"/>
      <c r="F103" s="18"/>
      <c r="G103" s="22">
        <f t="shared" si="2"/>
        <v>0.55000000000000004</v>
      </c>
      <c r="H103" s="22" t="str">
        <f t="shared" si="3"/>
        <v/>
      </c>
      <c r="I103" s="18"/>
    </row>
    <row r="104" spans="1:9">
      <c r="A104" s="19"/>
      <c r="B104" s="18"/>
      <c r="C104" s="18"/>
      <c r="D104" s="18"/>
      <c r="E104" s="18"/>
      <c r="F104" s="18"/>
      <c r="G104" s="22">
        <f t="shared" si="2"/>
        <v>0.55000000000000004</v>
      </c>
      <c r="H104" s="22" t="str">
        <f t="shared" si="3"/>
        <v/>
      </c>
      <c r="I104" s="18"/>
    </row>
    <row r="105" spans="1:9">
      <c r="A105" s="19"/>
      <c r="B105" s="18"/>
      <c r="C105" s="18"/>
      <c r="D105" s="18"/>
      <c r="E105" s="18"/>
      <c r="F105" s="18"/>
      <c r="G105" s="22">
        <f t="shared" si="2"/>
        <v>0.55000000000000004</v>
      </c>
      <c r="H105" s="22" t="str">
        <f t="shared" si="3"/>
        <v/>
      </c>
      <c r="I105" s="18"/>
    </row>
    <row r="106" spans="1:9">
      <c r="A106" s="19"/>
      <c r="B106" s="18"/>
      <c r="C106" s="18"/>
      <c r="D106" s="18"/>
      <c r="E106" s="18"/>
      <c r="F106" s="18"/>
      <c r="G106" s="22">
        <f t="shared" si="2"/>
        <v>0.55000000000000004</v>
      </c>
      <c r="H106" s="22" t="str">
        <f t="shared" si="3"/>
        <v/>
      </c>
      <c r="I106" s="18"/>
    </row>
    <row r="107" spans="1:9">
      <c r="A107" s="19"/>
      <c r="B107" s="18"/>
      <c r="C107" s="18"/>
      <c r="D107" s="18"/>
      <c r="E107" s="18"/>
      <c r="F107" s="18"/>
      <c r="G107" s="22">
        <f t="shared" si="2"/>
        <v>0.55000000000000004</v>
      </c>
      <c r="H107" s="22" t="str">
        <f t="shared" si="3"/>
        <v/>
      </c>
      <c r="I107" s="18"/>
    </row>
    <row r="108" spans="1:9">
      <c r="A108" s="19"/>
      <c r="B108" s="18"/>
      <c r="C108" s="18"/>
      <c r="D108" s="18"/>
      <c r="E108" s="18"/>
      <c r="F108" s="18"/>
      <c r="G108" s="22">
        <f t="shared" si="2"/>
        <v>0.55000000000000004</v>
      </c>
      <c r="H108" s="22" t="str">
        <f t="shared" si="3"/>
        <v/>
      </c>
      <c r="I108" s="18"/>
    </row>
    <row r="109" spans="1:9">
      <c r="A109" s="19"/>
      <c r="B109" s="18"/>
      <c r="C109" s="18"/>
      <c r="D109" s="18"/>
      <c r="E109" s="18"/>
      <c r="F109" s="18"/>
      <c r="G109" s="22">
        <f t="shared" si="2"/>
        <v>0.55000000000000004</v>
      </c>
      <c r="H109" s="22" t="str">
        <f t="shared" si="3"/>
        <v/>
      </c>
      <c r="I109" s="18"/>
    </row>
    <row r="110" spans="1:9">
      <c r="A110" s="19"/>
      <c r="B110" s="18"/>
      <c r="C110" s="18"/>
      <c r="D110" s="18"/>
      <c r="E110" s="18"/>
      <c r="F110" s="18"/>
      <c r="G110" s="22">
        <f t="shared" si="2"/>
        <v>0.55000000000000004</v>
      </c>
      <c r="H110" s="22" t="str">
        <f t="shared" si="3"/>
        <v/>
      </c>
      <c r="I110" s="18"/>
    </row>
    <row r="111" spans="1:9">
      <c r="A111" s="19"/>
      <c r="B111" s="18"/>
      <c r="C111" s="18"/>
      <c r="D111" s="18"/>
      <c r="E111" s="18"/>
      <c r="F111" s="18"/>
      <c r="G111" s="22">
        <f t="shared" si="2"/>
        <v>0.55000000000000004</v>
      </c>
      <c r="H111" s="22" t="str">
        <f t="shared" si="3"/>
        <v/>
      </c>
      <c r="I111" s="18"/>
    </row>
    <row r="112" spans="1:9">
      <c r="A112" s="19"/>
      <c r="B112" s="18"/>
      <c r="C112" s="18"/>
      <c r="D112" s="18"/>
      <c r="E112" s="18"/>
      <c r="F112" s="18"/>
      <c r="G112" s="22">
        <f t="shared" si="2"/>
        <v>0.55000000000000004</v>
      </c>
      <c r="H112" s="22" t="str">
        <f t="shared" si="3"/>
        <v/>
      </c>
      <c r="I112" s="18"/>
    </row>
    <row r="113" spans="1:9">
      <c r="A113" s="19"/>
      <c r="B113" s="18"/>
      <c r="C113" s="18"/>
      <c r="D113" s="18"/>
      <c r="E113" s="18"/>
      <c r="F113" s="18"/>
      <c r="G113" s="22">
        <f t="shared" si="2"/>
        <v>0.55000000000000004</v>
      </c>
      <c r="H113" s="22" t="str">
        <f t="shared" si="3"/>
        <v/>
      </c>
      <c r="I113" s="18"/>
    </row>
    <row r="114" spans="1:9">
      <c r="A114" s="19"/>
      <c r="B114" s="18"/>
      <c r="C114" s="18"/>
      <c r="D114" s="18"/>
      <c r="E114" s="18"/>
      <c r="F114" s="18"/>
      <c r="G114" s="22">
        <f t="shared" si="2"/>
        <v>0.55000000000000004</v>
      </c>
      <c r="H114" s="22" t="str">
        <f t="shared" si="3"/>
        <v/>
      </c>
      <c r="I114" s="18"/>
    </row>
    <row r="115" spans="1:9">
      <c r="A115" s="19"/>
      <c r="B115" s="18"/>
      <c r="C115" s="18"/>
      <c r="D115" s="18"/>
      <c r="E115" s="18"/>
      <c r="F115" s="18"/>
      <c r="G115" s="22">
        <f t="shared" si="2"/>
        <v>0.55000000000000004</v>
      </c>
      <c r="H115" s="22" t="str">
        <f t="shared" si="3"/>
        <v/>
      </c>
      <c r="I115" s="18"/>
    </row>
    <row r="116" spans="1:9">
      <c r="A116" s="19"/>
      <c r="B116" s="18"/>
      <c r="C116" s="18"/>
      <c r="D116" s="18"/>
      <c r="E116" s="18"/>
      <c r="F116" s="18"/>
      <c r="G116" s="22">
        <f t="shared" si="2"/>
        <v>0.55000000000000004</v>
      </c>
      <c r="H116" s="22" t="str">
        <f t="shared" si="3"/>
        <v/>
      </c>
      <c r="I116" s="18"/>
    </row>
    <row r="117" spans="1:9">
      <c r="A117" s="19"/>
      <c r="B117" s="18"/>
      <c r="C117" s="18"/>
      <c r="D117" s="18"/>
      <c r="E117" s="18"/>
      <c r="F117" s="18"/>
      <c r="G117" s="22">
        <f t="shared" si="2"/>
        <v>0.55000000000000004</v>
      </c>
      <c r="H117" s="22" t="str">
        <f t="shared" si="3"/>
        <v/>
      </c>
      <c r="I117" s="18"/>
    </row>
    <row r="118" spans="1:9">
      <c r="A118" s="19"/>
      <c r="B118" s="18"/>
      <c r="C118" s="18"/>
      <c r="D118" s="18"/>
      <c r="E118" s="18"/>
      <c r="F118" s="18"/>
      <c r="G118" s="22">
        <f t="shared" si="2"/>
        <v>0.55000000000000004</v>
      </c>
      <c r="H118" s="22" t="str">
        <f t="shared" si="3"/>
        <v/>
      </c>
      <c r="I118" s="18"/>
    </row>
    <row r="119" spans="1:9">
      <c r="A119" s="19"/>
      <c r="B119" s="18"/>
      <c r="C119" s="18"/>
      <c r="D119" s="18"/>
      <c r="E119" s="18"/>
      <c r="F119" s="18"/>
      <c r="G119" s="22">
        <f t="shared" si="2"/>
        <v>0.55000000000000004</v>
      </c>
      <c r="H119" s="22" t="str">
        <f t="shared" si="3"/>
        <v/>
      </c>
      <c r="I119" s="18"/>
    </row>
    <row r="120" spans="1:9">
      <c r="A120" s="19"/>
      <c r="B120" s="18"/>
      <c r="C120" s="18"/>
      <c r="D120" s="18"/>
      <c r="E120" s="18"/>
      <c r="F120" s="18"/>
      <c r="G120" s="22">
        <f t="shared" si="2"/>
        <v>0.55000000000000004</v>
      </c>
      <c r="H120" s="22" t="str">
        <f t="shared" si="3"/>
        <v/>
      </c>
      <c r="I120" s="18"/>
    </row>
    <row r="121" spans="1:9">
      <c r="A121" s="19"/>
      <c r="B121" s="18"/>
      <c r="C121" s="18"/>
      <c r="D121" s="18"/>
      <c r="E121" s="18"/>
      <c r="F121" s="18"/>
      <c r="G121" s="22">
        <f t="shared" si="2"/>
        <v>0.55000000000000004</v>
      </c>
      <c r="H121" s="22" t="str">
        <f t="shared" si="3"/>
        <v/>
      </c>
      <c r="I121" s="18"/>
    </row>
    <row r="122" spans="1:9">
      <c r="A122" s="19"/>
      <c r="B122" s="18"/>
      <c r="C122" s="18"/>
      <c r="D122" s="18"/>
      <c r="E122" s="18"/>
      <c r="F122" s="18"/>
      <c r="G122" s="22">
        <f t="shared" si="2"/>
        <v>0.55000000000000004</v>
      </c>
      <c r="H122" s="22" t="str">
        <f t="shared" si="3"/>
        <v/>
      </c>
      <c r="I122" s="18"/>
    </row>
    <row r="123" spans="1:9">
      <c r="A123" s="19"/>
      <c r="B123" s="18"/>
      <c r="C123" s="18"/>
      <c r="D123" s="18"/>
      <c r="E123" s="18"/>
      <c r="F123" s="18"/>
      <c r="G123" s="22">
        <f t="shared" si="2"/>
        <v>0.55000000000000004</v>
      </c>
      <c r="H123" s="22" t="str">
        <f t="shared" si="3"/>
        <v/>
      </c>
      <c r="I123" s="18"/>
    </row>
    <row r="124" spans="1:9">
      <c r="A124" s="19"/>
      <c r="B124" s="18"/>
      <c r="C124" s="18"/>
      <c r="D124" s="18"/>
      <c r="E124" s="18"/>
      <c r="F124" s="18"/>
      <c r="G124" s="22">
        <f t="shared" si="2"/>
        <v>0.55000000000000004</v>
      </c>
      <c r="H124" s="22" t="str">
        <f t="shared" si="3"/>
        <v/>
      </c>
      <c r="I124" s="18"/>
    </row>
    <row r="125" spans="1:9">
      <c r="A125" s="19"/>
      <c r="B125" s="18"/>
      <c r="C125" s="18"/>
      <c r="D125" s="18"/>
      <c r="E125" s="18"/>
      <c r="F125" s="18"/>
      <c r="G125" s="22">
        <f t="shared" si="2"/>
        <v>0.55000000000000004</v>
      </c>
      <c r="H125" s="22" t="str">
        <f t="shared" si="3"/>
        <v/>
      </c>
      <c r="I125" s="18"/>
    </row>
    <row r="126" spans="1:9">
      <c r="A126" s="19"/>
      <c r="B126" s="18"/>
      <c r="C126" s="18"/>
      <c r="D126" s="18"/>
      <c r="E126" s="18"/>
      <c r="F126" s="18"/>
      <c r="G126" s="22">
        <f t="shared" si="2"/>
        <v>0.55000000000000004</v>
      </c>
      <c r="H126" s="22" t="str">
        <f t="shared" si="3"/>
        <v/>
      </c>
      <c r="I126" s="18"/>
    </row>
    <row r="127" spans="1:9">
      <c r="A127" s="19"/>
      <c r="B127" s="18"/>
      <c r="C127" s="18"/>
      <c r="D127" s="18"/>
      <c r="E127" s="18"/>
      <c r="F127" s="18"/>
      <c r="G127" s="22">
        <f t="shared" si="2"/>
        <v>0.55000000000000004</v>
      </c>
      <c r="H127" s="22" t="str">
        <f t="shared" si="3"/>
        <v/>
      </c>
      <c r="I127" s="18"/>
    </row>
    <row r="128" spans="1:9">
      <c r="A128" s="19"/>
      <c r="B128" s="18"/>
      <c r="C128" s="18"/>
      <c r="D128" s="18"/>
      <c r="E128" s="18"/>
      <c r="F128" s="18"/>
      <c r="G128" s="22">
        <f t="shared" si="2"/>
        <v>0.55000000000000004</v>
      </c>
      <c r="H128" s="22" t="str">
        <f t="shared" si="3"/>
        <v/>
      </c>
      <c r="I128" s="18"/>
    </row>
    <row r="129" spans="1:9">
      <c r="A129" s="19"/>
      <c r="B129" s="18"/>
      <c r="C129" s="18"/>
      <c r="D129" s="18"/>
      <c r="E129" s="18"/>
      <c r="F129" s="18"/>
      <c r="G129" s="22">
        <f t="shared" si="2"/>
        <v>0.55000000000000004</v>
      </c>
      <c r="H129" s="22" t="str">
        <f t="shared" si="3"/>
        <v/>
      </c>
      <c r="I129" s="18"/>
    </row>
    <row r="130" spans="1:9">
      <c r="A130" s="19"/>
      <c r="B130" s="18"/>
      <c r="C130" s="18"/>
      <c r="D130" s="18"/>
      <c r="E130" s="18"/>
      <c r="F130" s="18"/>
      <c r="G130" s="22">
        <f t="shared" ref="G130:G193" si="4">IF(E130="Motorcycle",0.24,IF(F130&lt;=10000,0.55,0.25))</f>
        <v>0.55000000000000004</v>
      </c>
      <c r="H130" s="22" t="str">
        <f t="shared" ref="H130:H193" si="5">IF(F130="","",F130*G130)</f>
        <v/>
      </c>
      <c r="I130" s="18"/>
    </row>
    <row r="131" spans="1:9">
      <c r="A131" s="19"/>
      <c r="B131" s="18"/>
      <c r="C131" s="18"/>
      <c r="D131" s="18"/>
      <c r="E131" s="18"/>
      <c r="F131" s="18"/>
      <c r="G131" s="22">
        <f t="shared" si="4"/>
        <v>0.55000000000000004</v>
      </c>
      <c r="H131" s="22" t="str">
        <f t="shared" si="5"/>
        <v/>
      </c>
      <c r="I131" s="18"/>
    </row>
    <row r="132" spans="1:9">
      <c r="A132" s="19"/>
      <c r="B132" s="18"/>
      <c r="C132" s="18"/>
      <c r="D132" s="18"/>
      <c r="E132" s="18"/>
      <c r="F132" s="18"/>
      <c r="G132" s="22">
        <f t="shared" si="4"/>
        <v>0.55000000000000004</v>
      </c>
      <c r="H132" s="22" t="str">
        <f t="shared" si="5"/>
        <v/>
      </c>
      <c r="I132" s="18"/>
    </row>
    <row r="133" spans="1:9">
      <c r="A133" s="19"/>
      <c r="B133" s="18"/>
      <c r="C133" s="18"/>
      <c r="D133" s="18"/>
      <c r="E133" s="18"/>
      <c r="F133" s="18"/>
      <c r="G133" s="22">
        <f t="shared" si="4"/>
        <v>0.55000000000000004</v>
      </c>
      <c r="H133" s="22" t="str">
        <f t="shared" si="5"/>
        <v/>
      </c>
      <c r="I133" s="18"/>
    </row>
    <row r="134" spans="1:9">
      <c r="A134" s="19"/>
      <c r="B134" s="18"/>
      <c r="C134" s="18"/>
      <c r="D134" s="18"/>
      <c r="E134" s="18"/>
      <c r="F134" s="18"/>
      <c r="G134" s="22">
        <f t="shared" si="4"/>
        <v>0.55000000000000004</v>
      </c>
      <c r="H134" s="22" t="str">
        <f t="shared" si="5"/>
        <v/>
      </c>
      <c r="I134" s="18"/>
    </row>
    <row r="135" spans="1:9">
      <c r="A135" s="19"/>
      <c r="B135" s="18"/>
      <c r="C135" s="18"/>
      <c r="D135" s="18"/>
      <c r="E135" s="18"/>
      <c r="F135" s="18"/>
      <c r="G135" s="22">
        <f t="shared" si="4"/>
        <v>0.55000000000000004</v>
      </c>
      <c r="H135" s="22" t="str">
        <f t="shared" si="5"/>
        <v/>
      </c>
      <c r="I135" s="18"/>
    </row>
    <row r="136" spans="1:9">
      <c r="A136" s="19"/>
      <c r="B136" s="18"/>
      <c r="C136" s="18"/>
      <c r="D136" s="18"/>
      <c r="E136" s="18"/>
      <c r="F136" s="18"/>
      <c r="G136" s="22">
        <f t="shared" si="4"/>
        <v>0.55000000000000004</v>
      </c>
      <c r="H136" s="22" t="str">
        <f t="shared" si="5"/>
        <v/>
      </c>
      <c r="I136" s="18"/>
    </row>
    <row r="137" spans="1:9">
      <c r="A137" s="19"/>
      <c r="B137" s="18"/>
      <c r="C137" s="18"/>
      <c r="D137" s="18"/>
      <c r="E137" s="18"/>
      <c r="F137" s="18"/>
      <c r="G137" s="22">
        <f t="shared" si="4"/>
        <v>0.55000000000000004</v>
      </c>
      <c r="H137" s="22" t="str">
        <f t="shared" si="5"/>
        <v/>
      </c>
      <c r="I137" s="18"/>
    </row>
    <row r="138" spans="1:9">
      <c r="A138" s="19"/>
      <c r="B138" s="18"/>
      <c r="C138" s="18"/>
      <c r="D138" s="18"/>
      <c r="E138" s="18"/>
      <c r="F138" s="18"/>
      <c r="G138" s="22">
        <f t="shared" si="4"/>
        <v>0.55000000000000004</v>
      </c>
      <c r="H138" s="22" t="str">
        <f t="shared" si="5"/>
        <v/>
      </c>
      <c r="I138" s="18"/>
    </row>
    <row r="139" spans="1:9">
      <c r="A139" s="19"/>
      <c r="B139" s="18"/>
      <c r="C139" s="18"/>
      <c r="D139" s="18"/>
      <c r="E139" s="18"/>
      <c r="F139" s="18"/>
      <c r="G139" s="22">
        <f t="shared" si="4"/>
        <v>0.55000000000000004</v>
      </c>
      <c r="H139" s="22" t="str">
        <f t="shared" si="5"/>
        <v/>
      </c>
      <c r="I139" s="18"/>
    </row>
    <row r="140" spans="1:9">
      <c r="A140" s="19"/>
      <c r="B140" s="18"/>
      <c r="C140" s="18"/>
      <c r="D140" s="18"/>
      <c r="E140" s="18"/>
      <c r="F140" s="18"/>
      <c r="G140" s="22">
        <f t="shared" si="4"/>
        <v>0.55000000000000004</v>
      </c>
      <c r="H140" s="22" t="str">
        <f t="shared" si="5"/>
        <v/>
      </c>
      <c r="I140" s="18"/>
    </row>
    <row r="141" spans="1:9">
      <c r="A141" s="19"/>
      <c r="B141" s="18"/>
      <c r="C141" s="18"/>
      <c r="D141" s="18"/>
      <c r="E141" s="18"/>
      <c r="F141" s="18"/>
      <c r="G141" s="22">
        <f t="shared" si="4"/>
        <v>0.55000000000000004</v>
      </c>
      <c r="H141" s="22" t="str">
        <f t="shared" si="5"/>
        <v/>
      </c>
      <c r="I141" s="18"/>
    </row>
    <row r="142" spans="1:9">
      <c r="A142" s="19"/>
      <c r="B142" s="18"/>
      <c r="C142" s="18"/>
      <c r="D142" s="18"/>
      <c r="E142" s="18"/>
      <c r="F142" s="18"/>
      <c r="G142" s="22">
        <f t="shared" si="4"/>
        <v>0.55000000000000004</v>
      </c>
      <c r="H142" s="22" t="str">
        <f t="shared" si="5"/>
        <v/>
      </c>
      <c r="I142" s="18"/>
    </row>
    <row r="143" spans="1:9">
      <c r="A143" s="19"/>
      <c r="B143" s="18"/>
      <c r="C143" s="18"/>
      <c r="D143" s="18"/>
      <c r="E143" s="18"/>
      <c r="F143" s="18"/>
      <c r="G143" s="22">
        <f t="shared" si="4"/>
        <v>0.55000000000000004</v>
      </c>
      <c r="H143" s="22" t="str">
        <f t="shared" si="5"/>
        <v/>
      </c>
      <c r="I143" s="18"/>
    </row>
    <row r="144" spans="1:9">
      <c r="A144" s="19"/>
      <c r="B144" s="18"/>
      <c r="C144" s="18"/>
      <c r="D144" s="18"/>
      <c r="E144" s="18"/>
      <c r="F144" s="18"/>
      <c r="G144" s="22">
        <f t="shared" si="4"/>
        <v>0.55000000000000004</v>
      </c>
      <c r="H144" s="22" t="str">
        <f t="shared" si="5"/>
        <v/>
      </c>
      <c r="I144" s="18"/>
    </row>
    <row r="145" spans="1:9">
      <c r="A145" s="19"/>
      <c r="B145" s="18"/>
      <c r="C145" s="18"/>
      <c r="D145" s="18"/>
      <c r="E145" s="18"/>
      <c r="F145" s="18"/>
      <c r="G145" s="22">
        <f t="shared" si="4"/>
        <v>0.55000000000000004</v>
      </c>
      <c r="H145" s="22" t="str">
        <f t="shared" si="5"/>
        <v/>
      </c>
      <c r="I145" s="18"/>
    </row>
    <row r="146" spans="1:9">
      <c r="A146" s="19"/>
      <c r="B146" s="18"/>
      <c r="C146" s="18"/>
      <c r="D146" s="18"/>
      <c r="E146" s="18"/>
      <c r="F146" s="18"/>
      <c r="G146" s="22">
        <f t="shared" si="4"/>
        <v>0.55000000000000004</v>
      </c>
      <c r="H146" s="22" t="str">
        <f t="shared" si="5"/>
        <v/>
      </c>
      <c r="I146" s="18"/>
    </row>
    <row r="147" spans="1:9">
      <c r="A147" s="19"/>
      <c r="B147" s="18"/>
      <c r="C147" s="18"/>
      <c r="D147" s="18"/>
      <c r="E147" s="18"/>
      <c r="F147" s="18"/>
      <c r="G147" s="22">
        <f t="shared" si="4"/>
        <v>0.55000000000000004</v>
      </c>
      <c r="H147" s="22" t="str">
        <f t="shared" si="5"/>
        <v/>
      </c>
      <c r="I147" s="18"/>
    </row>
    <row r="148" spans="1:9">
      <c r="A148" s="19"/>
      <c r="B148" s="18"/>
      <c r="C148" s="18"/>
      <c r="D148" s="18"/>
      <c r="E148" s="18"/>
      <c r="F148" s="18"/>
      <c r="G148" s="22">
        <f t="shared" si="4"/>
        <v>0.55000000000000004</v>
      </c>
      <c r="H148" s="22" t="str">
        <f t="shared" si="5"/>
        <v/>
      </c>
      <c r="I148" s="18"/>
    </row>
    <row r="149" spans="1:9">
      <c r="A149" s="19"/>
      <c r="B149" s="18"/>
      <c r="C149" s="18"/>
      <c r="D149" s="18"/>
      <c r="E149" s="18"/>
      <c r="F149" s="18"/>
      <c r="G149" s="22">
        <f t="shared" si="4"/>
        <v>0.55000000000000004</v>
      </c>
      <c r="H149" s="22" t="str">
        <f t="shared" si="5"/>
        <v/>
      </c>
      <c r="I149" s="18"/>
    </row>
    <row r="150" spans="1:9">
      <c r="A150" s="19"/>
      <c r="B150" s="18"/>
      <c r="C150" s="18"/>
      <c r="D150" s="18"/>
      <c r="E150" s="18"/>
      <c r="F150" s="18"/>
      <c r="G150" s="22">
        <f t="shared" si="4"/>
        <v>0.55000000000000004</v>
      </c>
      <c r="H150" s="22" t="str">
        <f t="shared" si="5"/>
        <v/>
      </c>
      <c r="I150" s="18"/>
    </row>
    <row r="151" spans="1:9">
      <c r="A151" s="19"/>
      <c r="B151" s="18"/>
      <c r="C151" s="18"/>
      <c r="D151" s="18"/>
      <c r="E151" s="18"/>
      <c r="F151" s="18"/>
      <c r="G151" s="22">
        <f t="shared" si="4"/>
        <v>0.55000000000000004</v>
      </c>
      <c r="H151" s="22" t="str">
        <f t="shared" si="5"/>
        <v/>
      </c>
      <c r="I151" s="18"/>
    </row>
    <row r="152" spans="1:9">
      <c r="A152" s="19"/>
      <c r="B152" s="18"/>
      <c r="C152" s="18"/>
      <c r="D152" s="18"/>
      <c r="E152" s="18"/>
      <c r="F152" s="18"/>
      <c r="G152" s="22">
        <f t="shared" si="4"/>
        <v>0.55000000000000004</v>
      </c>
      <c r="H152" s="22" t="str">
        <f t="shared" si="5"/>
        <v/>
      </c>
      <c r="I152" s="18"/>
    </row>
    <row r="153" spans="1:9">
      <c r="A153" s="19"/>
      <c r="B153" s="18"/>
      <c r="C153" s="18"/>
      <c r="D153" s="18"/>
      <c r="E153" s="18"/>
      <c r="F153" s="18"/>
      <c r="G153" s="22">
        <f t="shared" si="4"/>
        <v>0.55000000000000004</v>
      </c>
      <c r="H153" s="22" t="str">
        <f t="shared" si="5"/>
        <v/>
      </c>
      <c r="I153" s="18"/>
    </row>
    <row r="154" spans="1:9">
      <c r="A154" s="19"/>
      <c r="B154" s="18"/>
      <c r="C154" s="18"/>
      <c r="D154" s="18"/>
      <c r="E154" s="18"/>
      <c r="F154" s="18"/>
      <c r="G154" s="22">
        <f t="shared" si="4"/>
        <v>0.55000000000000004</v>
      </c>
      <c r="H154" s="22" t="str">
        <f t="shared" si="5"/>
        <v/>
      </c>
      <c r="I154" s="18"/>
    </row>
    <row r="155" spans="1:9">
      <c r="A155" s="19"/>
      <c r="B155" s="18"/>
      <c r="C155" s="18"/>
      <c r="D155" s="18"/>
      <c r="E155" s="18"/>
      <c r="F155" s="18"/>
      <c r="G155" s="22">
        <f t="shared" si="4"/>
        <v>0.55000000000000004</v>
      </c>
      <c r="H155" s="22" t="str">
        <f t="shared" si="5"/>
        <v/>
      </c>
      <c r="I155" s="18"/>
    </row>
    <row r="156" spans="1:9">
      <c r="A156" s="19"/>
      <c r="B156" s="18"/>
      <c r="C156" s="18"/>
      <c r="D156" s="18"/>
      <c r="E156" s="18"/>
      <c r="F156" s="18"/>
      <c r="G156" s="22">
        <f t="shared" si="4"/>
        <v>0.55000000000000004</v>
      </c>
      <c r="H156" s="22" t="str">
        <f t="shared" si="5"/>
        <v/>
      </c>
      <c r="I156" s="18"/>
    </row>
    <row r="157" spans="1:9">
      <c r="A157" s="19"/>
      <c r="B157" s="18"/>
      <c r="C157" s="18"/>
      <c r="D157" s="18"/>
      <c r="E157" s="18"/>
      <c r="F157" s="18"/>
      <c r="G157" s="22">
        <f t="shared" si="4"/>
        <v>0.55000000000000004</v>
      </c>
      <c r="H157" s="22" t="str">
        <f t="shared" si="5"/>
        <v/>
      </c>
      <c r="I157" s="18"/>
    </row>
    <row r="158" spans="1:9">
      <c r="A158" s="19"/>
      <c r="B158" s="18"/>
      <c r="C158" s="18"/>
      <c r="D158" s="18"/>
      <c r="E158" s="18"/>
      <c r="F158" s="18"/>
      <c r="G158" s="22">
        <f t="shared" si="4"/>
        <v>0.55000000000000004</v>
      </c>
      <c r="H158" s="22" t="str">
        <f t="shared" si="5"/>
        <v/>
      </c>
      <c r="I158" s="18"/>
    </row>
    <row r="159" spans="1:9">
      <c r="A159" s="19"/>
      <c r="B159" s="18"/>
      <c r="C159" s="18"/>
      <c r="D159" s="18"/>
      <c r="E159" s="18"/>
      <c r="F159" s="18"/>
      <c r="G159" s="22">
        <f t="shared" si="4"/>
        <v>0.55000000000000004</v>
      </c>
      <c r="H159" s="22" t="str">
        <f t="shared" si="5"/>
        <v/>
      </c>
      <c r="I159" s="18"/>
    </row>
    <row r="160" spans="1:9">
      <c r="A160" s="19"/>
      <c r="B160" s="18"/>
      <c r="C160" s="18"/>
      <c r="D160" s="18"/>
      <c r="E160" s="18"/>
      <c r="F160" s="18"/>
      <c r="G160" s="22">
        <f t="shared" si="4"/>
        <v>0.55000000000000004</v>
      </c>
      <c r="H160" s="22" t="str">
        <f t="shared" si="5"/>
        <v/>
      </c>
      <c r="I160" s="18"/>
    </row>
    <row r="161" spans="1:9">
      <c r="A161" s="19"/>
      <c r="B161" s="18"/>
      <c r="C161" s="18"/>
      <c r="D161" s="18"/>
      <c r="E161" s="18"/>
      <c r="F161" s="18"/>
      <c r="G161" s="22">
        <f t="shared" si="4"/>
        <v>0.55000000000000004</v>
      </c>
      <c r="H161" s="22" t="str">
        <f t="shared" si="5"/>
        <v/>
      </c>
      <c r="I161" s="18"/>
    </row>
    <row r="162" spans="1:9">
      <c r="A162" s="19"/>
      <c r="B162" s="18"/>
      <c r="C162" s="18"/>
      <c r="D162" s="18"/>
      <c r="E162" s="18"/>
      <c r="F162" s="18"/>
      <c r="G162" s="22">
        <f t="shared" si="4"/>
        <v>0.55000000000000004</v>
      </c>
      <c r="H162" s="22" t="str">
        <f t="shared" si="5"/>
        <v/>
      </c>
      <c r="I162" s="18"/>
    </row>
    <row r="163" spans="1:9">
      <c r="A163" s="19"/>
      <c r="B163" s="18"/>
      <c r="C163" s="18"/>
      <c r="D163" s="18"/>
      <c r="E163" s="18"/>
      <c r="F163" s="18"/>
      <c r="G163" s="22">
        <f t="shared" si="4"/>
        <v>0.55000000000000004</v>
      </c>
      <c r="H163" s="22" t="str">
        <f t="shared" si="5"/>
        <v/>
      </c>
      <c r="I163" s="18"/>
    </row>
    <row r="164" spans="1:9">
      <c r="A164" s="19"/>
      <c r="B164" s="18"/>
      <c r="C164" s="18"/>
      <c r="D164" s="18"/>
      <c r="E164" s="18"/>
      <c r="F164" s="18"/>
      <c r="G164" s="22">
        <f t="shared" si="4"/>
        <v>0.55000000000000004</v>
      </c>
      <c r="H164" s="22" t="str">
        <f t="shared" si="5"/>
        <v/>
      </c>
      <c r="I164" s="18"/>
    </row>
    <row r="165" spans="1:9">
      <c r="A165" s="19"/>
      <c r="B165" s="18"/>
      <c r="C165" s="18"/>
      <c r="D165" s="18"/>
      <c r="E165" s="18"/>
      <c r="F165" s="18"/>
      <c r="G165" s="22">
        <f t="shared" si="4"/>
        <v>0.55000000000000004</v>
      </c>
      <c r="H165" s="22" t="str">
        <f t="shared" si="5"/>
        <v/>
      </c>
      <c r="I165" s="18"/>
    </row>
    <row r="166" spans="1:9">
      <c r="A166" s="19"/>
      <c r="B166" s="18"/>
      <c r="C166" s="18"/>
      <c r="D166" s="18"/>
      <c r="E166" s="18"/>
      <c r="F166" s="18"/>
      <c r="G166" s="22">
        <f t="shared" si="4"/>
        <v>0.55000000000000004</v>
      </c>
      <c r="H166" s="22" t="str">
        <f t="shared" si="5"/>
        <v/>
      </c>
      <c r="I166" s="18"/>
    </row>
    <row r="167" spans="1:9">
      <c r="A167" s="19"/>
      <c r="B167" s="18"/>
      <c r="C167" s="18"/>
      <c r="D167" s="18"/>
      <c r="E167" s="18"/>
      <c r="F167" s="18"/>
      <c r="G167" s="22">
        <f t="shared" si="4"/>
        <v>0.55000000000000004</v>
      </c>
      <c r="H167" s="22" t="str">
        <f t="shared" si="5"/>
        <v/>
      </c>
      <c r="I167" s="18"/>
    </row>
    <row r="168" spans="1:9">
      <c r="A168" s="19"/>
      <c r="B168" s="18"/>
      <c r="C168" s="18"/>
      <c r="D168" s="18"/>
      <c r="E168" s="18"/>
      <c r="F168" s="18"/>
      <c r="G168" s="22">
        <f t="shared" si="4"/>
        <v>0.55000000000000004</v>
      </c>
      <c r="H168" s="22" t="str">
        <f t="shared" si="5"/>
        <v/>
      </c>
      <c r="I168" s="18"/>
    </row>
    <row r="169" spans="1:9">
      <c r="A169" s="19"/>
      <c r="B169" s="18"/>
      <c r="C169" s="18"/>
      <c r="D169" s="18"/>
      <c r="E169" s="18"/>
      <c r="F169" s="18"/>
      <c r="G169" s="22">
        <f t="shared" si="4"/>
        <v>0.55000000000000004</v>
      </c>
      <c r="H169" s="22" t="str">
        <f t="shared" si="5"/>
        <v/>
      </c>
      <c r="I169" s="18"/>
    </row>
    <row r="170" spans="1:9">
      <c r="A170" s="19"/>
      <c r="B170" s="18"/>
      <c r="C170" s="18"/>
      <c r="D170" s="18"/>
      <c r="E170" s="18"/>
      <c r="F170" s="18"/>
      <c r="G170" s="22">
        <f t="shared" si="4"/>
        <v>0.55000000000000004</v>
      </c>
      <c r="H170" s="22" t="str">
        <f t="shared" si="5"/>
        <v/>
      </c>
      <c r="I170" s="18"/>
    </row>
    <row r="171" spans="1:9">
      <c r="A171" s="19"/>
      <c r="B171" s="18"/>
      <c r="C171" s="18"/>
      <c r="D171" s="18"/>
      <c r="E171" s="18"/>
      <c r="F171" s="18"/>
      <c r="G171" s="22">
        <f t="shared" si="4"/>
        <v>0.55000000000000004</v>
      </c>
      <c r="H171" s="22" t="str">
        <f t="shared" si="5"/>
        <v/>
      </c>
      <c r="I171" s="18"/>
    </row>
    <row r="172" spans="1:9">
      <c r="A172" s="19"/>
      <c r="B172" s="18"/>
      <c r="C172" s="18"/>
      <c r="D172" s="18"/>
      <c r="E172" s="18"/>
      <c r="F172" s="18"/>
      <c r="G172" s="22">
        <f t="shared" si="4"/>
        <v>0.55000000000000004</v>
      </c>
      <c r="H172" s="22" t="str">
        <f t="shared" si="5"/>
        <v/>
      </c>
      <c r="I172" s="18"/>
    </row>
    <row r="173" spans="1:9">
      <c r="A173" s="19"/>
      <c r="B173" s="18"/>
      <c r="C173" s="18"/>
      <c r="D173" s="18"/>
      <c r="E173" s="18"/>
      <c r="F173" s="18"/>
      <c r="G173" s="22">
        <f t="shared" si="4"/>
        <v>0.55000000000000004</v>
      </c>
      <c r="H173" s="22" t="str">
        <f t="shared" si="5"/>
        <v/>
      </c>
      <c r="I173" s="18"/>
    </row>
    <row r="174" spans="1:9">
      <c r="A174" s="19"/>
      <c r="B174" s="18"/>
      <c r="C174" s="18"/>
      <c r="D174" s="18"/>
      <c r="E174" s="18"/>
      <c r="F174" s="18"/>
      <c r="G174" s="22">
        <f t="shared" si="4"/>
        <v>0.55000000000000004</v>
      </c>
      <c r="H174" s="22" t="str">
        <f t="shared" si="5"/>
        <v/>
      </c>
      <c r="I174" s="18"/>
    </row>
    <row r="175" spans="1:9">
      <c r="A175" s="19"/>
      <c r="B175" s="18"/>
      <c r="C175" s="18"/>
      <c r="D175" s="18"/>
      <c r="E175" s="18"/>
      <c r="F175" s="18"/>
      <c r="G175" s="22">
        <f t="shared" si="4"/>
        <v>0.55000000000000004</v>
      </c>
      <c r="H175" s="22" t="str">
        <f t="shared" si="5"/>
        <v/>
      </c>
      <c r="I175" s="18"/>
    </row>
    <row r="176" spans="1:9">
      <c r="A176" s="19"/>
      <c r="B176" s="18"/>
      <c r="C176" s="18"/>
      <c r="D176" s="18"/>
      <c r="E176" s="18"/>
      <c r="F176" s="18"/>
      <c r="G176" s="22">
        <f t="shared" si="4"/>
        <v>0.55000000000000004</v>
      </c>
      <c r="H176" s="22" t="str">
        <f t="shared" si="5"/>
        <v/>
      </c>
      <c r="I176" s="18"/>
    </row>
    <row r="177" spans="1:9">
      <c r="A177" s="19"/>
      <c r="B177" s="18"/>
      <c r="C177" s="18"/>
      <c r="D177" s="18"/>
      <c r="E177" s="18"/>
      <c r="F177" s="18"/>
      <c r="G177" s="22">
        <f t="shared" si="4"/>
        <v>0.55000000000000004</v>
      </c>
      <c r="H177" s="22" t="str">
        <f t="shared" si="5"/>
        <v/>
      </c>
      <c r="I177" s="18"/>
    </row>
    <row r="178" spans="1:9">
      <c r="A178" s="19"/>
      <c r="B178" s="18"/>
      <c r="C178" s="18"/>
      <c r="D178" s="18"/>
      <c r="E178" s="18"/>
      <c r="F178" s="18"/>
      <c r="G178" s="22">
        <f t="shared" si="4"/>
        <v>0.55000000000000004</v>
      </c>
      <c r="H178" s="22" t="str">
        <f t="shared" si="5"/>
        <v/>
      </c>
      <c r="I178" s="18"/>
    </row>
    <row r="179" spans="1:9">
      <c r="A179" s="19"/>
      <c r="B179" s="18"/>
      <c r="C179" s="18"/>
      <c r="D179" s="18"/>
      <c r="E179" s="18"/>
      <c r="F179" s="18"/>
      <c r="G179" s="22">
        <f t="shared" si="4"/>
        <v>0.55000000000000004</v>
      </c>
      <c r="H179" s="22" t="str">
        <f t="shared" si="5"/>
        <v/>
      </c>
      <c r="I179" s="18"/>
    </row>
    <row r="180" spans="1:9">
      <c r="A180" s="19"/>
      <c r="B180" s="18"/>
      <c r="C180" s="18"/>
      <c r="D180" s="18"/>
      <c r="E180" s="18"/>
      <c r="F180" s="18"/>
      <c r="G180" s="22">
        <f t="shared" si="4"/>
        <v>0.55000000000000004</v>
      </c>
      <c r="H180" s="22" t="str">
        <f t="shared" si="5"/>
        <v/>
      </c>
      <c r="I180" s="18"/>
    </row>
    <row r="181" spans="1:9">
      <c r="A181" s="19"/>
      <c r="B181" s="18"/>
      <c r="C181" s="18"/>
      <c r="D181" s="18"/>
      <c r="E181" s="18"/>
      <c r="F181" s="18"/>
      <c r="G181" s="22">
        <f t="shared" si="4"/>
        <v>0.55000000000000004</v>
      </c>
      <c r="H181" s="22" t="str">
        <f t="shared" si="5"/>
        <v/>
      </c>
      <c r="I181" s="18"/>
    </row>
    <row r="182" spans="1:9">
      <c r="A182" s="19"/>
      <c r="B182" s="18"/>
      <c r="C182" s="18"/>
      <c r="D182" s="18"/>
      <c r="E182" s="18"/>
      <c r="F182" s="18"/>
      <c r="G182" s="22">
        <f t="shared" si="4"/>
        <v>0.55000000000000004</v>
      </c>
      <c r="H182" s="22" t="str">
        <f t="shared" si="5"/>
        <v/>
      </c>
      <c r="I182" s="18"/>
    </row>
    <row r="183" spans="1:9">
      <c r="A183" s="19"/>
      <c r="B183" s="18"/>
      <c r="C183" s="18"/>
      <c r="D183" s="18"/>
      <c r="E183" s="18"/>
      <c r="F183" s="18"/>
      <c r="G183" s="22">
        <f t="shared" si="4"/>
        <v>0.55000000000000004</v>
      </c>
      <c r="H183" s="22" t="str">
        <f t="shared" si="5"/>
        <v/>
      </c>
      <c r="I183" s="18"/>
    </row>
    <row r="184" spans="1:9">
      <c r="A184" s="19"/>
      <c r="B184" s="18"/>
      <c r="C184" s="18"/>
      <c r="D184" s="18"/>
      <c r="E184" s="18"/>
      <c r="F184" s="18"/>
      <c r="G184" s="22">
        <f t="shared" si="4"/>
        <v>0.55000000000000004</v>
      </c>
      <c r="H184" s="22" t="str">
        <f t="shared" si="5"/>
        <v/>
      </c>
      <c r="I184" s="18"/>
    </row>
    <row r="185" spans="1:9">
      <c r="A185" s="19"/>
      <c r="B185" s="18"/>
      <c r="C185" s="18"/>
      <c r="D185" s="18"/>
      <c r="E185" s="18"/>
      <c r="F185" s="18"/>
      <c r="G185" s="22">
        <f t="shared" si="4"/>
        <v>0.55000000000000004</v>
      </c>
      <c r="H185" s="22" t="str">
        <f t="shared" si="5"/>
        <v/>
      </c>
      <c r="I185" s="18"/>
    </row>
    <row r="186" spans="1:9">
      <c r="A186" s="19"/>
      <c r="B186" s="18"/>
      <c r="C186" s="18"/>
      <c r="D186" s="18"/>
      <c r="E186" s="18"/>
      <c r="F186" s="18"/>
      <c r="G186" s="22">
        <f t="shared" si="4"/>
        <v>0.55000000000000004</v>
      </c>
      <c r="H186" s="22" t="str">
        <f t="shared" si="5"/>
        <v/>
      </c>
      <c r="I186" s="18"/>
    </row>
    <row r="187" spans="1:9">
      <c r="A187" s="19"/>
      <c r="B187" s="18"/>
      <c r="C187" s="18"/>
      <c r="D187" s="18"/>
      <c r="E187" s="18"/>
      <c r="F187" s="18"/>
      <c r="G187" s="22">
        <f t="shared" si="4"/>
        <v>0.55000000000000004</v>
      </c>
      <c r="H187" s="22" t="str">
        <f t="shared" si="5"/>
        <v/>
      </c>
      <c r="I187" s="18"/>
    </row>
    <row r="188" spans="1:9">
      <c r="A188" s="19"/>
      <c r="B188" s="18"/>
      <c r="C188" s="18"/>
      <c r="D188" s="18"/>
      <c r="E188" s="18"/>
      <c r="F188" s="18"/>
      <c r="G188" s="22">
        <f t="shared" si="4"/>
        <v>0.55000000000000004</v>
      </c>
      <c r="H188" s="22" t="str">
        <f t="shared" si="5"/>
        <v/>
      </c>
      <c r="I188" s="18"/>
    </row>
    <row r="189" spans="1:9">
      <c r="A189" s="19"/>
      <c r="B189" s="18"/>
      <c r="C189" s="18"/>
      <c r="D189" s="18"/>
      <c r="E189" s="18"/>
      <c r="F189" s="18"/>
      <c r="G189" s="22">
        <f t="shared" si="4"/>
        <v>0.55000000000000004</v>
      </c>
      <c r="H189" s="22" t="str">
        <f t="shared" si="5"/>
        <v/>
      </c>
      <c r="I189" s="18"/>
    </row>
    <row r="190" spans="1:9">
      <c r="A190" s="19"/>
      <c r="B190" s="18"/>
      <c r="C190" s="18"/>
      <c r="D190" s="18"/>
      <c r="E190" s="18"/>
      <c r="F190" s="18"/>
      <c r="G190" s="22">
        <f t="shared" si="4"/>
        <v>0.55000000000000004</v>
      </c>
      <c r="H190" s="22" t="str">
        <f t="shared" si="5"/>
        <v/>
      </c>
      <c r="I190" s="18"/>
    </row>
    <row r="191" spans="1:9">
      <c r="A191" s="19"/>
      <c r="B191" s="18"/>
      <c r="C191" s="18"/>
      <c r="D191" s="18"/>
      <c r="E191" s="18"/>
      <c r="F191" s="18"/>
      <c r="G191" s="22">
        <f t="shared" si="4"/>
        <v>0.55000000000000004</v>
      </c>
      <c r="H191" s="22" t="str">
        <f t="shared" si="5"/>
        <v/>
      </c>
      <c r="I191" s="18"/>
    </row>
    <row r="192" spans="1:9">
      <c r="A192" s="19"/>
      <c r="B192" s="18"/>
      <c r="C192" s="18"/>
      <c r="D192" s="18"/>
      <c r="E192" s="18"/>
      <c r="F192" s="18"/>
      <c r="G192" s="22">
        <f t="shared" si="4"/>
        <v>0.55000000000000004</v>
      </c>
      <c r="H192" s="22" t="str">
        <f t="shared" si="5"/>
        <v/>
      </c>
      <c r="I192" s="18"/>
    </row>
    <row r="193" spans="1:9">
      <c r="A193" s="19"/>
      <c r="B193" s="18"/>
      <c r="C193" s="18"/>
      <c r="D193" s="18"/>
      <c r="E193" s="18"/>
      <c r="F193" s="18"/>
      <c r="G193" s="22">
        <f t="shared" si="4"/>
        <v>0.55000000000000004</v>
      </c>
      <c r="H193" s="22" t="str">
        <f t="shared" si="5"/>
        <v/>
      </c>
      <c r="I193" s="18"/>
    </row>
    <row r="194" spans="1:9">
      <c r="A194" s="19"/>
      <c r="B194" s="18"/>
      <c r="C194" s="18"/>
      <c r="D194" s="18"/>
      <c r="E194" s="18"/>
      <c r="F194" s="18"/>
      <c r="G194" s="22">
        <f t="shared" ref="G194:G257" si="6">IF(E194="Motorcycle",0.24,IF(F194&lt;=10000,0.55,0.25))</f>
        <v>0.55000000000000004</v>
      </c>
      <c r="H194" s="22" t="str">
        <f t="shared" ref="H194:H257" si="7">IF(F194="","",F194*G194)</f>
        <v/>
      </c>
      <c r="I194" s="18"/>
    </row>
    <row r="195" spans="1:9">
      <c r="A195" s="19"/>
      <c r="B195" s="18"/>
      <c r="C195" s="18"/>
      <c r="D195" s="18"/>
      <c r="E195" s="18"/>
      <c r="F195" s="18"/>
      <c r="G195" s="22">
        <f t="shared" si="6"/>
        <v>0.55000000000000004</v>
      </c>
      <c r="H195" s="22" t="str">
        <f t="shared" si="7"/>
        <v/>
      </c>
      <c r="I195" s="18"/>
    </row>
    <row r="196" spans="1:9">
      <c r="A196" s="19"/>
      <c r="B196" s="18"/>
      <c r="C196" s="18"/>
      <c r="D196" s="18"/>
      <c r="E196" s="18"/>
      <c r="F196" s="18"/>
      <c r="G196" s="22">
        <f t="shared" si="6"/>
        <v>0.55000000000000004</v>
      </c>
      <c r="H196" s="22" t="str">
        <f t="shared" si="7"/>
        <v/>
      </c>
      <c r="I196" s="18"/>
    </row>
    <row r="197" spans="1:9">
      <c r="A197" s="19"/>
      <c r="B197" s="18"/>
      <c r="C197" s="18"/>
      <c r="D197" s="18"/>
      <c r="E197" s="18"/>
      <c r="F197" s="18"/>
      <c r="G197" s="22">
        <f t="shared" si="6"/>
        <v>0.55000000000000004</v>
      </c>
      <c r="H197" s="22" t="str">
        <f t="shared" si="7"/>
        <v/>
      </c>
      <c r="I197" s="18"/>
    </row>
    <row r="198" spans="1:9">
      <c r="A198" s="19"/>
      <c r="B198" s="18"/>
      <c r="C198" s="18"/>
      <c r="D198" s="18"/>
      <c r="E198" s="18"/>
      <c r="F198" s="18"/>
      <c r="G198" s="22">
        <f t="shared" si="6"/>
        <v>0.55000000000000004</v>
      </c>
      <c r="H198" s="22" t="str">
        <f t="shared" si="7"/>
        <v/>
      </c>
      <c r="I198" s="18"/>
    </row>
    <row r="199" spans="1:9">
      <c r="A199" s="19"/>
      <c r="B199" s="18"/>
      <c r="C199" s="18"/>
      <c r="D199" s="18"/>
      <c r="E199" s="18"/>
      <c r="F199" s="18"/>
      <c r="G199" s="22">
        <f t="shared" si="6"/>
        <v>0.55000000000000004</v>
      </c>
      <c r="H199" s="22" t="str">
        <f t="shared" si="7"/>
        <v/>
      </c>
      <c r="I199" s="18"/>
    </row>
    <row r="200" spans="1:9">
      <c r="A200" s="19"/>
      <c r="B200" s="18"/>
      <c r="C200" s="18"/>
      <c r="D200" s="18"/>
      <c r="E200" s="18"/>
      <c r="F200" s="18"/>
      <c r="G200" s="22">
        <f t="shared" si="6"/>
        <v>0.55000000000000004</v>
      </c>
      <c r="H200" s="22" t="str">
        <f t="shared" si="7"/>
        <v/>
      </c>
      <c r="I200" s="18"/>
    </row>
    <row r="201" spans="1:9">
      <c r="A201" s="19"/>
      <c r="B201" s="18"/>
      <c r="C201" s="18"/>
      <c r="D201" s="18"/>
      <c r="E201" s="18"/>
      <c r="F201" s="18"/>
      <c r="G201" s="22">
        <f t="shared" si="6"/>
        <v>0.55000000000000004</v>
      </c>
      <c r="H201" s="22" t="str">
        <f t="shared" si="7"/>
        <v/>
      </c>
      <c r="I201" s="18"/>
    </row>
    <row r="202" spans="1:9">
      <c r="A202" s="19"/>
      <c r="B202" s="18"/>
      <c r="C202" s="18"/>
      <c r="D202" s="18"/>
      <c r="E202" s="18"/>
      <c r="F202" s="18"/>
      <c r="G202" s="22">
        <f t="shared" si="6"/>
        <v>0.55000000000000004</v>
      </c>
      <c r="H202" s="22" t="str">
        <f t="shared" si="7"/>
        <v/>
      </c>
      <c r="I202" s="18"/>
    </row>
    <row r="203" spans="1:9">
      <c r="A203" s="19"/>
      <c r="B203" s="18"/>
      <c r="C203" s="18"/>
      <c r="D203" s="18"/>
      <c r="E203" s="18"/>
      <c r="F203" s="18"/>
      <c r="G203" s="22">
        <f t="shared" si="6"/>
        <v>0.55000000000000004</v>
      </c>
      <c r="H203" s="22" t="str">
        <f t="shared" si="7"/>
        <v/>
      </c>
      <c r="I203" s="18"/>
    </row>
    <row r="204" spans="1:9">
      <c r="A204" s="19"/>
      <c r="B204" s="18"/>
      <c r="C204" s="18"/>
      <c r="D204" s="18"/>
      <c r="E204" s="18"/>
      <c r="F204" s="18"/>
      <c r="G204" s="22">
        <f t="shared" si="6"/>
        <v>0.55000000000000004</v>
      </c>
      <c r="H204" s="22" t="str">
        <f t="shared" si="7"/>
        <v/>
      </c>
      <c r="I204" s="18"/>
    </row>
    <row r="205" spans="1:9">
      <c r="A205" s="19"/>
      <c r="B205" s="18"/>
      <c r="C205" s="18"/>
      <c r="D205" s="18"/>
      <c r="E205" s="18"/>
      <c r="F205" s="18"/>
      <c r="G205" s="22">
        <f t="shared" si="6"/>
        <v>0.55000000000000004</v>
      </c>
      <c r="H205" s="22" t="str">
        <f t="shared" si="7"/>
        <v/>
      </c>
      <c r="I205" s="18"/>
    </row>
    <row r="206" spans="1:9">
      <c r="A206" s="19"/>
      <c r="B206" s="18"/>
      <c r="C206" s="18"/>
      <c r="D206" s="18"/>
      <c r="E206" s="18"/>
      <c r="F206" s="18"/>
      <c r="G206" s="22">
        <f t="shared" si="6"/>
        <v>0.55000000000000004</v>
      </c>
      <c r="H206" s="22" t="str">
        <f t="shared" si="7"/>
        <v/>
      </c>
      <c r="I206" s="18"/>
    </row>
    <row r="207" spans="1:9">
      <c r="A207" s="19"/>
      <c r="B207" s="18"/>
      <c r="C207" s="18"/>
      <c r="D207" s="18"/>
      <c r="E207" s="18"/>
      <c r="F207" s="18"/>
      <c r="G207" s="22">
        <f t="shared" si="6"/>
        <v>0.55000000000000004</v>
      </c>
      <c r="H207" s="22" t="str">
        <f t="shared" si="7"/>
        <v/>
      </c>
      <c r="I207" s="18"/>
    </row>
    <row r="208" spans="1:9">
      <c r="A208" s="19"/>
      <c r="B208" s="18"/>
      <c r="C208" s="18"/>
      <c r="D208" s="18"/>
      <c r="E208" s="18"/>
      <c r="F208" s="18"/>
      <c r="G208" s="22">
        <f t="shared" si="6"/>
        <v>0.55000000000000004</v>
      </c>
      <c r="H208" s="22" t="str">
        <f t="shared" si="7"/>
        <v/>
      </c>
      <c r="I208" s="18"/>
    </row>
    <row r="209" spans="1:9">
      <c r="A209" s="19"/>
      <c r="B209" s="18"/>
      <c r="C209" s="18"/>
      <c r="D209" s="18"/>
      <c r="E209" s="18"/>
      <c r="F209" s="18"/>
      <c r="G209" s="22">
        <f t="shared" si="6"/>
        <v>0.55000000000000004</v>
      </c>
      <c r="H209" s="22" t="str">
        <f t="shared" si="7"/>
        <v/>
      </c>
      <c r="I209" s="18"/>
    </row>
    <row r="210" spans="1:9">
      <c r="A210" s="19"/>
      <c r="B210" s="18"/>
      <c r="C210" s="18"/>
      <c r="D210" s="18"/>
      <c r="E210" s="18"/>
      <c r="F210" s="18"/>
      <c r="G210" s="22">
        <f t="shared" si="6"/>
        <v>0.55000000000000004</v>
      </c>
      <c r="H210" s="22" t="str">
        <f t="shared" si="7"/>
        <v/>
      </c>
      <c r="I210" s="18"/>
    </row>
    <row r="211" spans="1:9">
      <c r="A211" s="19"/>
      <c r="B211" s="18"/>
      <c r="C211" s="18"/>
      <c r="D211" s="18"/>
      <c r="E211" s="18"/>
      <c r="F211" s="18"/>
      <c r="G211" s="22">
        <f t="shared" si="6"/>
        <v>0.55000000000000004</v>
      </c>
      <c r="H211" s="22" t="str">
        <f t="shared" si="7"/>
        <v/>
      </c>
      <c r="I211" s="18"/>
    </row>
    <row r="212" spans="1:9">
      <c r="A212" s="19"/>
      <c r="B212" s="18"/>
      <c r="C212" s="18"/>
      <c r="D212" s="18"/>
      <c r="E212" s="18"/>
      <c r="F212" s="18"/>
      <c r="G212" s="22">
        <f t="shared" si="6"/>
        <v>0.55000000000000004</v>
      </c>
      <c r="H212" s="22" t="str">
        <f t="shared" si="7"/>
        <v/>
      </c>
      <c r="I212" s="18"/>
    </row>
    <row r="213" spans="1:9">
      <c r="A213" s="19"/>
      <c r="B213" s="18"/>
      <c r="C213" s="18"/>
      <c r="D213" s="18"/>
      <c r="E213" s="18"/>
      <c r="F213" s="18"/>
      <c r="G213" s="22">
        <f t="shared" si="6"/>
        <v>0.55000000000000004</v>
      </c>
      <c r="H213" s="22" t="str">
        <f t="shared" si="7"/>
        <v/>
      </c>
      <c r="I213" s="18"/>
    </row>
    <row r="214" spans="1:9">
      <c r="A214" s="19"/>
      <c r="B214" s="18"/>
      <c r="C214" s="18"/>
      <c r="D214" s="18"/>
      <c r="E214" s="18"/>
      <c r="F214" s="18"/>
      <c r="G214" s="22">
        <f t="shared" si="6"/>
        <v>0.55000000000000004</v>
      </c>
      <c r="H214" s="22" t="str">
        <f t="shared" si="7"/>
        <v/>
      </c>
      <c r="I214" s="18"/>
    </row>
    <row r="215" spans="1:9">
      <c r="A215" s="19"/>
      <c r="B215" s="18"/>
      <c r="C215" s="18"/>
      <c r="D215" s="18"/>
      <c r="E215" s="18"/>
      <c r="F215" s="18"/>
      <c r="G215" s="22">
        <f t="shared" si="6"/>
        <v>0.55000000000000004</v>
      </c>
      <c r="H215" s="22" t="str">
        <f t="shared" si="7"/>
        <v/>
      </c>
      <c r="I215" s="18"/>
    </row>
    <row r="216" spans="1:9">
      <c r="A216" s="19"/>
      <c r="B216" s="18"/>
      <c r="C216" s="18"/>
      <c r="D216" s="18"/>
      <c r="E216" s="18"/>
      <c r="F216" s="18"/>
      <c r="G216" s="22">
        <f t="shared" si="6"/>
        <v>0.55000000000000004</v>
      </c>
      <c r="H216" s="22" t="str">
        <f t="shared" si="7"/>
        <v/>
      </c>
      <c r="I216" s="18"/>
    </row>
    <row r="217" spans="1:9">
      <c r="A217" s="19"/>
      <c r="B217" s="18"/>
      <c r="C217" s="18"/>
      <c r="D217" s="18"/>
      <c r="E217" s="18"/>
      <c r="F217" s="18"/>
      <c r="G217" s="22">
        <f t="shared" si="6"/>
        <v>0.55000000000000004</v>
      </c>
      <c r="H217" s="22" t="str">
        <f t="shared" si="7"/>
        <v/>
      </c>
      <c r="I217" s="18"/>
    </row>
    <row r="218" spans="1:9">
      <c r="A218" s="19"/>
      <c r="B218" s="18"/>
      <c r="C218" s="18"/>
      <c r="D218" s="18"/>
      <c r="E218" s="18"/>
      <c r="F218" s="18"/>
      <c r="G218" s="22">
        <f t="shared" si="6"/>
        <v>0.55000000000000004</v>
      </c>
      <c r="H218" s="22" t="str">
        <f t="shared" si="7"/>
        <v/>
      </c>
      <c r="I218" s="18"/>
    </row>
    <row r="219" spans="1:9">
      <c r="A219" s="19"/>
      <c r="B219" s="18"/>
      <c r="C219" s="18"/>
      <c r="D219" s="18"/>
      <c r="E219" s="18"/>
      <c r="F219" s="18"/>
      <c r="G219" s="22">
        <f t="shared" si="6"/>
        <v>0.55000000000000004</v>
      </c>
      <c r="H219" s="22" t="str">
        <f t="shared" si="7"/>
        <v/>
      </c>
      <c r="I219" s="18"/>
    </row>
    <row r="220" spans="1:9">
      <c r="A220" s="19"/>
      <c r="B220" s="18"/>
      <c r="C220" s="18"/>
      <c r="D220" s="18"/>
      <c r="E220" s="18"/>
      <c r="F220" s="18"/>
      <c r="G220" s="22">
        <f t="shared" si="6"/>
        <v>0.55000000000000004</v>
      </c>
      <c r="H220" s="22" t="str">
        <f t="shared" si="7"/>
        <v/>
      </c>
      <c r="I220" s="18"/>
    </row>
    <row r="221" spans="1:9">
      <c r="A221" s="19"/>
      <c r="B221" s="18"/>
      <c r="C221" s="18"/>
      <c r="D221" s="18"/>
      <c r="E221" s="18"/>
      <c r="F221" s="18"/>
      <c r="G221" s="22">
        <f t="shared" si="6"/>
        <v>0.55000000000000004</v>
      </c>
      <c r="H221" s="22" t="str">
        <f t="shared" si="7"/>
        <v/>
      </c>
      <c r="I221" s="18"/>
    </row>
    <row r="222" spans="1:9">
      <c r="A222" s="19"/>
      <c r="B222" s="18"/>
      <c r="C222" s="18"/>
      <c r="D222" s="18"/>
      <c r="E222" s="18"/>
      <c r="F222" s="18"/>
      <c r="G222" s="22">
        <f t="shared" si="6"/>
        <v>0.55000000000000004</v>
      </c>
      <c r="H222" s="22" t="str">
        <f t="shared" si="7"/>
        <v/>
      </c>
      <c r="I222" s="18"/>
    </row>
    <row r="223" spans="1:9">
      <c r="A223" s="19"/>
      <c r="B223" s="18"/>
      <c r="C223" s="18"/>
      <c r="D223" s="18"/>
      <c r="E223" s="18"/>
      <c r="F223" s="18"/>
      <c r="G223" s="22">
        <f t="shared" si="6"/>
        <v>0.55000000000000004</v>
      </c>
      <c r="H223" s="22" t="str">
        <f t="shared" si="7"/>
        <v/>
      </c>
      <c r="I223" s="18"/>
    </row>
    <row r="224" spans="1:9">
      <c r="A224" s="19"/>
      <c r="B224" s="18"/>
      <c r="C224" s="18"/>
      <c r="D224" s="18"/>
      <c r="E224" s="18"/>
      <c r="F224" s="18"/>
      <c r="G224" s="22">
        <f t="shared" si="6"/>
        <v>0.55000000000000004</v>
      </c>
      <c r="H224" s="22" t="str">
        <f t="shared" si="7"/>
        <v/>
      </c>
      <c r="I224" s="18"/>
    </row>
    <row r="225" spans="1:9">
      <c r="A225" s="19"/>
      <c r="B225" s="18"/>
      <c r="C225" s="18"/>
      <c r="D225" s="18"/>
      <c r="E225" s="18"/>
      <c r="F225" s="18"/>
      <c r="G225" s="22">
        <f t="shared" si="6"/>
        <v>0.55000000000000004</v>
      </c>
      <c r="H225" s="22" t="str">
        <f t="shared" si="7"/>
        <v/>
      </c>
      <c r="I225" s="18"/>
    </row>
    <row r="226" spans="1:9">
      <c r="A226" s="19"/>
      <c r="B226" s="18"/>
      <c r="C226" s="18"/>
      <c r="D226" s="18"/>
      <c r="E226" s="18"/>
      <c r="F226" s="18"/>
      <c r="G226" s="22">
        <f t="shared" si="6"/>
        <v>0.55000000000000004</v>
      </c>
      <c r="H226" s="22" t="str">
        <f t="shared" si="7"/>
        <v/>
      </c>
      <c r="I226" s="18"/>
    </row>
    <row r="227" spans="1:9">
      <c r="A227" s="19"/>
      <c r="B227" s="18"/>
      <c r="C227" s="18"/>
      <c r="D227" s="18"/>
      <c r="E227" s="18"/>
      <c r="F227" s="18"/>
      <c r="G227" s="22">
        <f t="shared" si="6"/>
        <v>0.55000000000000004</v>
      </c>
      <c r="H227" s="22" t="str">
        <f t="shared" si="7"/>
        <v/>
      </c>
      <c r="I227" s="18"/>
    </row>
    <row r="228" spans="1:9">
      <c r="A228" s="19"/>
      <c r="B228" s="18"/>
      <c r="C228" s="18"/>
      <c r="D228" s="18"/>
      <c r="E228" s="18"/>
      <c r="F228" s="18"/>
      <c r="G228" s="22">
        <f t="shared" si="6"/>
        <v>0.55000000000000004</v>
      </c>
      <c r="H228" s="22" t="str">
        <f t="shared" si="7"/>
        <v/>
      </c>
      <c r="I228" s="18"/>
    </row>
    <row r="229" spans="1:9">
      <c r="A229" s="19"/>
      <c r="B229" s="18"/>
      <c r="C229" s="18"/>
      <c r="D229" s="18"/>
      <c r="E229" s="18"/>
      <c r="F229" s="18"/>
      <c r="G229" s="22">
        <f t="shared" si="6"/>
        <v>0.55000000000000004</v>
      </c>
      <c r="H229" s="22" t="str">
        <f t="shared" si="7"/>
        <v/>
      </c>
      <c r="I229" s="18"/>
    </row>
    <row r="230" spans="1:9">
      <c r="A230" s="19"/>
      <c r="B230" s="18"/>
      <c r="C230" s="18"/>
      <c r="D230" s="18"/>
      <c r="E230" s="18"/>
      <c r="F230" s="18"/>
      <c r="G230" s="22">
        <f t="shared" si="6"/>
        <v>0.55000000000000004</v>
      </c>
      <c r="H230" s="22" t="str">
        <f t="shared" si="7"/>
        <v/>
      </c>
      <c r="I230" s="18"/>
    </row>
    <row r="231" spans="1:9">
      <c r="A231" s="19"/>
      <c r="B231" s="18"/>
      <c r="C231" s="18"/>
      <c r="D231" s="18"/>
      <c r="E231" s="18"/>
      <c r="F231" s="18"/>
      <c r="G231" s="22">
        <f t="shared" si="6"/>
        <v>0.55000000000000004</v>
      </c>
      <c r="H231" s="22" t="str">
        <f t="shared" si="7"/>
        <v/>
      </c>
      <c r="I231" s="18"/>
    </row>
    <row r="232" spans="1:9">
      <c r="A232" s="19"/>
      <c r="B232" s="18"/>
      <c r="C232" s="18"/>
      <c r="D232" s="18"/>
      <c r="E232" s="18"/>
      <c r="F232" s="18"/>
      <c r="G232" s="22">
        <f t="shared" si="6"/>
        <v>0.55000000000000004</v>
      </c>
      <c r="H232" s="22" t="str">
        <f t="shared" si="7"/>
        <v/>
      </c>
      <c r="I232" s="18"/>
    </row>
    <row r="233" spans="1:9">
      <c r="A233" s="19"/>
      <c r="B233" s="18"/>
      <c r="C233" s="18"/>
      <c r="D233" s="18"/>
      <c r="E233" s="18"/>
      <c r="F233" s="18"/>
      <c r="G233" s="22">
        <f t="shared" si="6"/>
        <v>0.55000000000000004</v>
      </c>
      <c r="H233" s="22" t="str">
        <f t="shared" si="7"/>
        <v/>
      </c>
      <c r="I233" s="18"/>
    </row>
    <row r="234" spans="1:9">
      <c r="A234" s="19"/>
      <c r="B234" s="18"/>
      <c r="C234" s="18"/>
      <c r="D234" s="18"/>
      <c r="E234" s="18"/>
      <c r="F234" s="18"/>
      <c r="G234" s="22">
        <f t="shared" si="6"/>
        <v>0.55000000000000004</v>
      </c>
      <c r="H234" s="22" t="str">
        <f t="shared" si="7"/>
        <v/>
      </c>
      <c r="I234" s="18"/>
    </row>
    <row r="235" spans="1:9">
      <c r="A235" s="19"/>
      <c r="B235" s="18"/>
      <c r="C235" s="18"/>
      <c r="D235" s="18"/>
      <c r="E235" s="18"/>
      <c r="F235" s="18"/>
      <c r="G235" s="22">
        <f t="shared" si="6"/>
        <v>0.55000000000000004</v>
      </c>
      <c r="H235" s="22" t="str">
        <f t="shared" si="7"/>
        <v/>
      </c>
      <c r="I235" s="18"/>
    </row>
    <row r="236" spans="1:9">
      <c r="A236" s="19"/>
      <c r="B236" s="18"/>
      <c r="C236" s="18"/>
      <c r="D236" s="18"/>
      <c r="E236" s="18"/>
      <c r="F236" s="18"/>
      <c r="G236" s="22">
        <f t="shared" si="6"/>
        <v>0.55000000000000004</v>
      </c>
      <c r="H236" s="22" t="str">
        <f t="shared" si="7"/>
        <v/>
      </c>
      <c r="I236" s="18"/>
    </row>
    <row r="237" spans="1:9">
      <c r="A237" s="19"/>
      <c r="B237" s="18"/>
      <c r="C237" s="18"/>
      <c r="D237" s="18"/>
      <c r="E237" s="18"/>
      <c r="F237" s="18"/>
      <c r="G237" s="22">
        <f t="shared" si="6"/>
        <v>0.55000000000000004</v>
      </c>
      <c r="H237" s="22" t="str">
        <f t="shared" si="7"/>
        <v/>
      </c>
      <c r="I237" s="18"/>
    </row>
    <row r="238" spans="1:9">
      <c r="A238" s="19"/>
      <c r="B238" s="18"/>
      <c r="C238" s="18"/>
      <c r="D238" s="18"/>
      <c r="E238" s="18"/>
      <c r="F238" s="18"/>
      <c r="G238" s="22">
        <f t="shared" si="6"/>
        <v>0.55000000000000004</v>
      </c>
      <c r="H238" s="22" t="str">
        <f t="shared" si="7"/>
        <v/>
      </c>
      <c r="I238" s="18"/>
    </row>
    <row r="239" spans="1:9">
      <c r="A239" s="19"/>
      <c r="B239" s="18"/>
      <c r="C239" s="18"/>
      <c r="D239" s="18"/>
      <c r="E239" s="18"/>
      <c r="F239" s="18"/>
      <c r="G239" s="22">
        <f t="shared" si="6"/>
        <v>0.55000000000000004</v>
      </c>
      <c r="H239" s="22" t="str">
        <f t="shared" si="7"/>
        <v/>
      </c>
      <c r="I239" s="18"/>
    </row>
    <row r="240" spans="1:9">
      <c r="A240" s="19"/>
      <c r="B240" s="18"/>
      <c r="C240" s="18"/>
      <c r="D240" s="18"/>
      <c r="E240" s="18"/>
      <c r="F240" s="18"/>
      <c r="G240" s="22">
        <f t="shared" si="6"/>
        <v>0.55000000000000004</v>
      </c>
      <c r="H240" s="22" t="str">
        <f t="shared" si="7"/>
        <v/>
      </c>
      <c r="I240" s="18"/>
    </row>
    <row r="241" spans="1:9">
      <c r="A241" s="19"/>
      <c r="B241" s="18"/>
      <c r="C241" s="18"/>
      <c r="D241" s="18"/>
      <c r="E241" s="18"/>
      <c r="F241" s="18"/>
      <c r="G241" s="22">
        <f t="shared" si="6"/>
        <v>0.55000000000000004</v>
      </c>
      <c r="H241" s="22" t="str">
        <f t="shared" si="7"/>
        <v/>
      </c>
      <c r="I241" s="18"/>
    </row>
    <row r="242" spans="1:9">
      <c r="A242" s="19"/>
      <c r="B242" s="18"/>
      <c r="C242" s="18"/>
      <c r="D242" s="18"/>
      <c r="E242" s="18"/>
      <c r="F242" s="18"/>
      <c r="G242" s="22">
        <f t="shared" si="6"/>
        <v>0.55000000000000004</v>
      </c>
      <c r="H242" s="22" t="str">
        <f t="shared" si="7"/>
        <v/>
      </c>
      <c r="I242" s="18"/>
    </row>
    <row r="243" spans="1:9">
      <c r="A243" s="19"/>
      <c r="B243" s="18"/>
      <c r="C243" s="18"/>
      <c r="D243" s="18"/>
      <c r="E243" s="18"/>
      <c r="F243" s="18"/>
      <c r="G243" s="22">
        <f t="shared" si="6"/>
        <v>0.55000000000000004</v>
      </c>
      <c r="H243" s="22" t="str">
        <f t="shared" si="7"/>
        <v/>
      </c>
      <c r="I243" s="18"/>
    </row>
    <row r="244" spans="1:9">
      <c r="A244" s="19"/>
      <c r="B244" s="18"/>
      <c r="C244" s="18"/>
      <c r="D244" s="18"/>
      <c r="E244" s="18"/>
      <c r="F244" s="18"/>
      <c r="G244" s="22">
        <f t="shared" si="6"/>
        <v>0.55000000000000004</v>
      </c>
      <c r="H244" s="22" t="str">
        <f t="shared" si="7"/>
        <v/>
      </c>
      <c r="I244" s="18"/>
    </row>
    <row r="245" spans="1:9">
      <c r="A245" s="19"/>
      <c r="B245" s="18"/>
      <c r="C245" s="18"/>
      <c r="D245" s="18"/>
      <c r="E245" s="18"/>
      <c r="F245" s="18"/>
      <c r="G245" s="22">
        <f t="shared" si="6"/>
        <v>0.55000000000000004</v>
      </c>
      <c r="H245" s="22" t="str">
        <f t="shared" si="7"/>
        <v/>
      </c>
      <c r="I245" s="18"/>
    </row>
    <row r="246" spans="1:9">
      <c r="A246" s="19"/>
      <c r="B246" s="18"/>
      <c r="C246" s="18"/>
      <c r="D246" s="18"/>
      <c r="E246" s="18"/>
      <c r="F246" s="18"/>
      <c r="G246" s="22">
        <f t="shared" si="6"/>
        <v>0.55000000000000004</v>
      </c>
      <c r="H246" s="22" t="str">
        <f t="shared" si="7"/>
        <v/>
      </c>
      <c r="I246" s="18"/>
    </row>
    <row r="247" spans="1:9">
      <c r="A247" s="19"/>
      <c r="B247" s="18"/>
      <c r="C247" s="18"/>
      <c r="D247" s="18"/>
      <c r="E247" s="18"/>
      <c r="F247" s="18"/>
      <c r="G247" s="22">
        <f t="shared" si="6"/>
        <v>0.55000000000000004</v>
      </c>
      <c r="H247" s="22" t="str">
        <f t="shared" si="7"/>
        <v/>
      </c>
      <c r="I247" s="18"/>
    </row>
    <row r="248" spans="1:9">
      <c r="A248" s="19"/>
      <c r="B248" s="18"/>
      <c r="C248" s="18"/>
      <c r="D248" s="18"/>
      <c r="E248" s="18"/>
      <c r="F248" s="18"/>
      <c r="G248" s="22">
        <f t="shared" si="6"/>
        <v>0.55000000000000004</v>
      </c>
      <c r="H248" s="22" t="str">
        <f t="shared" si="7"/>
        <v/>
      </c>
      <c r="I248" s="18"/>
    </row>
    <row r="249" spans="1:9">
      <c r="A249" s="19"/>
      <c r="B249" s="18"/>
      <c r="C249" s="18"/>
      <c r="D249" s="18"/>
      <c r="E249" s="18"/>
      <c r="F249" s="18"/>
      <c r="G249" s="22">
        <f t="shared" si="6"/>
        <v>0.55000000000000004</v>
      </c>
      <c r="H249" s="22" t="str">
        <f t="shared" si="7"/>
        <v/>
      </c>
      <c r="I249" s="18"/>
    </row>
    <row r="250" spans="1:9">
      <c r="A250" s="19"/>
      <c r="B250" s="18"/>
      <c r="C250" s="18"/>
      <c r="D250" s="18"/>
      <c r="E250" s="18"/>
      <c r="F250" s="18"/>
      <c r="G250" s="22">
        <f t="shared" si="6"/>
        <v>0.55000000000000004</v>
      </c>
      <c r="H250" s="22" t="str">
        <f t="shared" si="7"/>
        <v/>
      </c>
      <c r="I250" s="18"/>
    </row>
    <row r="251" spans="1:9">
      <c r="A251" s="19"/>
      <c r="B251" s="18"/>
      <c r="C251" s="18"/>
      <c r="D251" s="18"/>
      <c r="E251" s="18"/>
      <c r="F251" s="18"/>
      <c r="G251" s="22">
        <f t="shared" si="6"/>
        <v>0.55000000000000004</v>
      </c>
      <c r="H251" s="22" t="str">
        <f t="shared" si="7"/>
        <v/>
      </c>
      <c r="I251" s="18"/>
    </row>
    <row r="252" spans="1:9">
      <c r="A252" s="19"/>
      <c r="B252" s="18"/>
      <c r="C252" s="18"/>
      <c r="D252" s="18"/>
      <c r="E252" s="18"/>
      <c r="F252" s="18"/>
      <c r="G252" s="22">
        <f t="shared" si="6"/>
        <v>0.55000000000000004</v>
      </c>
      <c r="H252" s="22" t="str">
        <f t="shared" si="7"/>
        <v/>
      </c>
      <c r="I252" s="18"/>
    </row>
    <row r="253" spans="1:9">
      <c r="A253" s="19"/>
      <c r="B253" s="18"/>
      <c r="C253" s="18"/>
      <c r="D253" s="18"/>
      <c r="E253" s="18"/>
      <c r="F253" s="18"/>
      <c r="G253" s="22">
        <f t="shared" si="6"/>
        <v>0.55000000000000004</v>
      </c>
      <c r="H253" s="22" t="str">
        <f t="shared" si="7"/>
        <v/>
      </c>
      <c r="I253" s="18"/>
    </row>
    <row r="254" spans="1:9">
      <c r="A254" s="19"/>
      <c r="B254" s="18"/>
      <c r="C254" s="18"/>
      <c r="D254" s="18"/>
      <c r="E254" s="18"/>
      <c r="F254" s="18"/>
      <c r="G254" s="22">
        <f t="shared" si="6"/>
        <v>0.55000000000000004</v>
      </c>
      <c r="H254" s="22" t="str">
        <f t="shared" si="7"/>
        <v/>
      </c>
      <c r="I254" s="18"/>
    </row>
    <row r="255" spans="1:9">
      <c r="A255" s="19"/>
      <c r="B255" s="18"/>
      <c r="C255" s="18"/>
      <c r="D255" s="18"/>
      <c r="E255" s="18"/>
      <c r="F255" s="18"/>
      <c r="G255" s="22">
        <f t="shared" si="6"/>
        <v>0.55000000000000004</v>
      </c>
      <c r="H255" s="22" t="str">
        <f t="shared" si="7"/>
        <v/>
      </c>
      <c r="I255" s="18"/>
    </row>
    <row r="256" spans="1:9">
      <c r="A256" s="19"/>
      <c r="B256" s="18"/>
      <c r="C256" s="18"/>
      <c r="D256" s="18"/>
      <c r="E256" s="18"/>
      <c r="F256" s="18"/>
      <c r="G256" s="22">
        <f t="shared" si="6"/>
        <v>0.55000000000000004</v>
      </c>
      <c r="H256" s="22" t="str">
        <f t="shared" si="7"/>
        <v/>
      </c>
      <c r="I256" s="18"/>
    </row>
    <row r="257" spans="1:9">
      <c r="A257" s="19"/>
      <c r="B257" s="18"/>
      <c r="C257" s="18"/>
      <c r="D257" s="18"/>
      <c r="E257" s="18"/>
      <c r="F257" s="18"/>
      <c r="G257" s="22">
        <f t="shared" si="6"/>
        <v>0.55000000000000004</v>
      </c>
      <c r="H257" s="22" t="str">
        <f t="shared" si="7"/>
        <v/>
      </c>
      <c r="I257" s="18"/>
    </row>
    <row r="258" spans="1:9">
      <c r="A258" s="19"/>
      <c r="B258" s="18"/>
      <c r="C258" s="18"/>
      <c r="D258" s="18"/>
      <c r="E258" s="18"/>
      <c r="F258" s="18"/>
      <c r="G258" s="22">
        <f t="shared" ref="G258:G301" si="8">IF(E258="Motorcycle",0.24,IF(F258&lt;=10000,0.55,0.25))</f>
        <v>0.55000000000000004</v>
      </c>
      <c r="H258" s="22" t="str">
        <f t="shared" ref="H258:H301" si="9">IF(F258="","",F258*G258)</f>
        <v/>
      </c>
      <c r="I258" s="18"/>
    </row>
    <row r="259" spans="1:9">
      <c r="A259" s="19"/>
      <c r="B259" s="18"/>
      <c r="C259" s="18"/>
      <c r="D259" s="18"/>
      <c r="E259" s="18"/>
      <c r="F259" s="18"/>
      <c r="G259" s="22">
        <f t="shared" si="8"/>
        <v>0.55000000000000004</v>
      </c>
      <c r="H259" s="22" t="str">
        <f t="shared" si="9"/>
        <v/>
      </c>
      <c r="I259" s="18"/>
    </row>
    <row r="260" spans="1:9">
      <c r="A260" s="19"/>
      <c r="B260" s="18"/>
      <c r="C260" s="18"/>
      <c r="D260" s="18"/>
      <c r="E260" s="18"/>
      <c r="F260" s="18"/>
      <c r="G260" s="22">
        <f t="shared" si="8"/>
        <v>0.55000000000000004</v>
      </c>
      <c r="H260" s="22" t="str">
        <f t="shared" si="9"/>
        <v/>
      </c>
      <c r="I260" s="18"/>
    </row>
    <row r="261" spans="1:9">
      <c r="A261" s="19"/>
      <c r="B261" s="18"/>
      <c r="C261" s="18"/>
      <c r="D261" s="18"/>
      <c r="E261" s="18"/>
      <c r="F261" s="18"/>
      <c r="G261" s="22">
        <f t="shared" si="8"/>
        <v>0.55000000000000004</v>
      </c>
      <c r="H261" s="22" t="str">
        <f t="shared" si="9"/>
        <v/>
      </c>
      <c r="I261" s="18"/>
    </row>
    <row r="262" spans="1:9">
      <c r="A262" s="19"/>
      <c r="B262" s="18"/>
      <c r="C262" s="18"/>
      <c r="D262" s="18"/>
      <c r="E262" s="18"/>
      <c r="F262" s="18"/>
      <c r="G262" s="22">
        <f t="shared" si="8"/>
        <v>0.55000000000000004</v>
      </c>
      <c r="H262" s="22" t="str">
        <f t="shared" si="9"/>
        <v/>
      </c>
      <c r="I262" s="18"/>
    </row>
    <row r="263" spans="1:9">
      <c r="A263" s="19"/>
      <c r="B263" s="18"/>
      <c r="C263" s="18"/>
      <c r="D263" s="18"/>
      <c r="E263" s="18"/>
      <c r="F263" s="18"/>
      <c r="G263" s="22">
        <f t="shared" si="8"/>
        <v>0.55000000000000004</v>
      </c>
      <c r="H263" s="22" t="str">
        <f t="shared" si="9"/>
        <v/>
      </c>
      <c r="I263" s="18"/>
    </row>
    <row r="264" spans="1:9">
      <c r="A264" s="19"/>
      <c r="B264" s="18"/>
      <c r="C264" s="18"/>
      <c r="D264" s="18"/>
      <c r="E264" s="18"/>
      <c r="F264" s="18"/>
      <c r="G264" s="22">
        <f t="shared" si="8"/>
        <v>0.55000000000000004</v>
      </c>
      <c r="H264" s="22" t="str">
        <f t="shared" si="9"/>
        <v/>
      </c>
      <c r="I264" s="18"/>
    </row>
    <row r="265" spans="1:9">
      <c r="A265" s="19"/>
      <c r="B265" s="18"/>
      <c r="C265" s="18"/>
      <c r="D265" s="18"/>
      <c r="E265" s="18"/>
      <c r="F265" s="18"/>
      <c r="G265" s="22">
        <f t="shared" si="8"/>
        <v>0.55000000000000004</v>
      </c>
      <c r="H265" s="22" t="str">
        <f t="shared" si="9"/>
        <v/>
      </c>
      <c r="I265" s="18"/>
    </row>
    <row r="266" spans="1:9">
      <c r="A266" s="19"/>
      <c r="B266" s="18"/>
      <c r="C266" s="18"/>
      <c r="D266" s="18"/>
      <c r="E266" s="18"/>
      <c r="F266" s="18"/>
      <c r="G266" s="22">
        <f t="shared" si="8"/>
        <v>0.55000000000000004</v>
      </c>
      <c r="H266" s="22" t="str">
        <f t="shared" si="9"/>
        <v/>
      </c>
      <c r="I266" s="18"/>
    </row>
    <row r="267" spans="1:9">
      <c r="A267" s="19"/>
      <c r="B267" s="18"/>
      <c r="C267" s="18"/>
      <c r="D267" s="18"/>
      <c r="E267" s="18"/>
      <c r="F267" s="18"/>
      <c r="G267" s="22">
        <f t="shared" si="8"/>
        <v>0.55000000000000004</v>
      </c>
      <c r="H267" s="22" t="str">
        <f t="shared" si="9"/>
        <v/>
      </c>
      <c r="I267" s="18"/>
    </row>
    <row r="268" spans="1:9">
      <c r="A268" s="19"/>
      <c r="B268" s="18"/>
      <c r="C268" s="18"/>
      <c r="D268" s="18"/>
      <c r="E268" s="18"/>
      <c r="F268" s="18"/>
      <c r="G268" s="22">
        <f t="shared" si="8"/>
        <v>0.55000000000000004</v>
      </c>
      <c r="H268" s="22" t="str">
        <f t="shared" si="9"/>
        <v/>
      </c>
      <c r="I268" s="18"/>
    </row>
    <row r="269" spans="1:9">
      <c r="A269" s="19"/>
      <c r="B269" s="18"/>
      <c r="C269" s="18"/>
      <c r="D269" s="18"/>
      <c r="E269" s="18"/>
      <c r="F269" s="18"/>
      <c r="G269" s="22">
        <f t="shared" si="8"/>
        <v>0.55000000000000004</v>
      </c>
      <c r="H269" s="22" t="str">
        <f t="shared" si="9"/>
        <v/>
      </c>
      <c r="I269" s="18"/>
    </row>
    <row r="270" spans="1:9">
      <c r="A270" s="19"/>
      <c r="B270" s="18"/>
      <c r="C270" s="18"/>
      <c r="D270" s="18"/>
      <c r="E270" s="18"/>
      <c r="F270" s="18"/>
      <c r="G270" s="22">
        <f t="shared" si="8"/>
        <v>0.55000000000000004</v>
      </c>
      <c r="H270" s="22" t="str">
        <f t="shared" si="9"/>
        <v/>
      </c>
      <c r="I270" s="18"/>
    </row>
    <row r="271" spans="1:9">
      <c r="A271" s="19"/>
      <c r="B271" s="18"/>
      <c r="C271" s="18"/>
      <c r="D271" s="18"/>
      <c r="E271" s="18"/>
      <c r="F271" s="18"/>
      <c r="G271" s="22">
        <f t="shared" si="8"/>
        <v>0.55000000000000004</v>
      </c>
      <c r="H271" s="22" t="str">
        <f t="shared" si="9"/>
        <v/>
      </c>
      <c r="I271" s="18"/>
    </row>
    <row r="272" spans="1:9">
      <c r="A272" s="19"/>
      <c r="B272" s="18"/>
      <c r="C272" s="18"/>
      <c r="D272" s="18"/>
      <c r="E272" s="18"/>
      <c r="F272" s="18"/>
      <c r="G272" s="22">
        <f t="shared" si="8"/>
        <v>0.55000000000000004</v>
      </c>
      <c r="H272" s="22" t="str">
        <f t="shared" si="9"/>
        <v/>
      </c>
      <c r="I272" s="18"/>
    </row>
    <row r="273" spans="1:9">
      <c r="A273" s="19"/>
      <c r="B273" s="18"/>
      <c r="C273" s="18"/>
      <c r="D273" s="18"/>
      <c r="E273" s="18"/>
      <c r="F273" s="18"/>
      <c r="G273" s="22">
        <f t="shared" si="8"/>
        <v>0.55000000000000004</v>
      </c>
      <c r="H273" s="22" t="str">
        <f t="shared" si="9"/>
        <v/>
      </c>
      <c r="I273" s="18"/>
    </row>
    <row r="274" spans="1:9">
      <c r="A274" s="19"/>
      <c r="B274" s="18"/>
      <c r="C274" s="18"/>
      <c r="D274" s="18"/>
      <c r="E274" s="18"/>
      <c r="F274" s="18"/>
      <c r="G274" s="22">
        <f t="shared" si="8"/>
        <v>0.55000000000000004</v>
      </c>
      <c r="H274" s="22" t="str">
        <f t="shared" si="9"/>
        <v/>
      </c>
      <c r="I274" s="18"/>
    </row>
    <row r="275" spans="1:9">
      <c r="A275" s="19"/>
      <c r="B275" s="18"/>
      <c r="C275" s="18"/>
      <c r="D275" s="18"/>
      <c r="E275" s="18"/>
      <c r="F275" s="18"/>
      <c r="G275" s="22">
        <f t="shared" si="8"/>
        <v>0.55000000000000004</v>
      </c>
      <c r="H275" s="22" t="str">
        <f t="shared" si="9"/>
        <v/>
      </c>
      <c r="I275" s="18"/>
    </row>
    <row r="276" spans="1:9">
      <c r="A276" s="19"/>
      <c r="B276" s="18"/>
      <c r="C276" s="18"/>
      <c r="D276" s="18"/>
      <c r="E276" s="18"/>
      <c r="F276" s="18"/>
      <c r="G276" s="22">
        <f t="shared" si="8"/>
        <v>0.55000000000000004</v>
      </c>
      <c r="H276" s="22" t="str">
        <f t="shared" si="9"/>
        <v/>
      </c>
      <c r="I276" s="18"/>
    </row>
    <row r="277" spans="1:9">
      <c r="A277" s="19"/>
      <c r="B277" s="18"/>
      <c r="C277" s="18"/>
      <c r="D277" s="18"/>
      <c r="E277" s="18"/>
      <c r="F277" s="18"/>
      <c r="G277" s="22">
        <f t="shared" si="8"/>
        <v>0.55000000000000004</v>
      </c>
      <c r="H277" s="22" t="str">
        <f t="shared" si="9"/>
        <v/>
      </c>
      <c r="I277" s="18"/>
    </row>
    <row r="278" spans="1:9">
      <c r="A278" s="19"/>
      <c r="B278" s="18"/>
      <c r="C278" s="18"/>
      <c r="D278" s="18"/>
      <c r="E278" s="18"/>
      <c r="F278" s="18"/>
      <c r="G278" s="22">
        <f t="shared" si="8"/>
        <v>0.55000000000000004</v>
      </c>
      <c r="H278" s="22" t="str">
        <f t="shared" si="9"/>
        <v/>
      </c>
      <c r="I278" s="18"/>
    </row>
    <row r="279" spans="1:9">
      <c r="A279" s="19"/>
      <c r="B279" s="18"/>
      <c r="C279" s="18"/>
      <c r="D279" s="18"/>
      <c r="E279" s="18"/>
      <c r="F279" s="18"/>
      <c r="G279" s="22">
        <f t="shared" si="8"/>
        <v>0.55000000000000004</v>
      </c>
      <c r="H279" s="22" t="str">
        <f t="shared" si="9"/>
        <v/>
      </c>
      <c r="I279" s="18"/>
    </row>
    <row r="280" spans="1:9">
      <c r="A280" s="19"/>
      <c r="B280" s="18"/>
      <c r="C280" s="18"/>
      <c r="D280" s="18"/>
      <c r="E280" s="18"/>
      <c r="F280" s="18"/>
      <c r="G280" s="22">
        <f t="shared" si="8"/>
        <v>0.55000000000000004</v>
      </c>
      <c r="H280" s="22" t="str">
        <f t="shared" si="9"/>
        <v/>
      </c>
      <c r="I280" s="18"/>
    </row>
    <row r="281" spans="1:9">
      <c r="A281" s="19"/>
      <c r="B281" s="18"/>
      <c r="C281" s="18"/>
      <c r="D281" s="18"/>
      <c r="E281" s="18"/>
      <c r="F281" s="18"/>
      <c r="G281" s="22">
        <f t="shared" si="8"/>
        <v>0.55000000000000004</v>
      </c>
      <c r="H281" s="22" t="str">
        <f t="shared" si="9"/>
        <v/>
      </c>
      <c r="I281" s="18"/>
    </row>
    <row r="282" spans="1:9">
      <c r="A282" s="19"/>
      <c r="B282" s="18"/>
      <c r="C282" s="18"/>
      <c r="D282" s="18"/>
      <c r="E282" s="18"/>
      <c r="F282" s="18"/>
      <c r="G282" s="22">
        <f t="shared" si="8"/>
        <v>0.55000000000000004</v>
      </c>
      <c r="H282" s="22" t="str">
        <f t="shared" si="9"/>
        <v/>
      </c>
      <c r="I282" s="18"/>
    </row>
    <row r="283" spans="1:9">
      <c r="A283" s="19"/>
      <c r="B283" s="18"/>
      <c r="C283" s="18"/>
      <c r="D283" s="18"/>
      <c r="E283" s="18"/>
      <c r="F283" s="18"/>
      <c r="G283" s="22">
        <f t="shared" si="8"/>
        <v>0.55000000000000004</v>
      </c>
      <c r="H283" s="22" t="str">
        <f t="shared" si="9"/>
        <v/>
      </c>
      <c r="I283" s="18"/>
    </row>
    <row r="284" spans="1:9">
      <c r="A284" s="19"/>
      <c r="B284" s="18"/>
      <c r="C284" s="18"/>
      <c r="D284" s="18"/>
      <c r="E284" s="18"/>
      <c r="F284" s="18"/>
      <c r="G284" s="22">
        <f t="shared" si="8"/>
        <v>0.55000000000000004</v>
      </c>
      <c r="H284" s="22" t="str">
        <f t="shared" si="9"/>
        <v/>
      </c>
      <c r="I284" s="18"/>
    </row>
    <row r="285" spans="1:9">
      <c r="A285" s="19"/>
      <c r="B285" s="18"/>
      <c r="C285" s="18"/>
      <c r="D285" s="18"/>
      <c r="E285" s="18"/>
      <c r="F285" s="18"/>
      <c r="G285" s="22">
        <f t="shared" si="8"/>
        <v>0.55000000000000004</v>
      </c>
      <c r="H285" s="22" t="str">
        <f t="shared" si="9"/>
        <v/>
      </c>
      <c r="I285" s="18"/>
    </row>
    <row r="286" spans="1:9">
      <c r="A286" s="19"/>
      <c r="B286" s="18"/>
      <c r="C286" s="18"/>
      <c r="D286" s="18"/>
      <c r="E286" s="18"/>
      <c r="F286" s="18"/>
      <c r="G286" s="22">
        <f t="shared" si="8"/>
        <v>0.55000000000000004</v>
      </c>
      <c r="H286" s="22" t="str">
        <f t="shared" si="9"/>
        <v/>
      </c>
      <c r="I286" s="18"/>
    </row>
    <row r="287" spans="1:9">
      <c r="A287" s="19"/>
      <c r="B287" s="18"/>
      <c r="C287" s="18"/>
      <c r="D287" s="18"/>
      <c r="E287" s="18"/>
      <c r="F287" s="18"/>
      <c r="G287" s="22">
        <f t="shared" si="8"/>
        <v>0.55000000000000004</v>
      </c>
      <c r="H287" s="22" t="str">
        <f t="shared" si="9"/>
        <v/>
      </c>
      <c r="I287" s="18"/>
    </row>
    <row r="288" spans="1:9">
      <c r="A288" s="19"/>
      <c r="B288" s="18"/>
      <c r="C288" s="18"/>
      <c r="D288" s="18"/>
      <c r="E288" s="18"/>
      <c r="F288" s="18"/>
      <c r="G288" s="22">
        <f t="shared" si="8"/>
        <v>0.55000000000000004</v>
      </c>
      <c r="H288" s="22" t="str">
        <f t="shared" si="9"/>
        <v/>
      </c>
      <c r="I288" s="18"/>
    </row>
    <row r="289" spans="1:9">
      <c r="A289" s="19"/>
      <c r="B289" s="18"/>
      <c r="C289" s="18"/>
      <c r="D289" s="18"/>
      <c r="E289" s="18"/>
      <c r="F289" s="18"/>
      <c r="G289" s="22">
        <f t="shared" si="8"/>
        <v>0.55000000000000004</v>
      </c>
      <c r="H289" s="22" t="str">
        <f t="shared" si="9"/>
        <v/>
      </c>
      <c r="I289" s="18"/>
    </row>
    <row r="290" spans="1:9">
      <c r="A290" s="19"/>
      <c r="B290" s="18"/>
      <c r="C290" s="18"/>
      <c r="D290" s="18"/>
      <c r="E290" s="18"/>
      <c r="F290" s="18"/>
      <c r="G290" s="22">
        <f t="shared" si="8"/>
        <v>0.55000000000000004</v>
      </c>
      <c r="H290" s="22" t="str">
        <f t="shared" si="9"/>
        <v/>
      </c>
      <c r="I290" s="18"/>
    </row>
    <row r="291" spans="1:9">
      <c r="A291" s="19"/>
      <c r="B291" s="18"/>
      <c r="C291" s="18"/>
      <c r="D291" s="18"/>
      <c r="E291" s="18"/>
      <c r="F291" s="18"/>
      <c r="G291" s="22">
        <f t="shared" si="8"/>
        <v>0.55000000000000004</v>
      </c>
      <c r="H291" s="22" t="str">
        <f t="shared" si="9"/>
        <v/>
      </c>
      <c r="I291" s="18"/>
    </row>
    <row r="292" spans="1:9">
      <c r="A292" s="19"/>
      <c r="B292" s="18"/>
      <c r="C292" s="18"/>
      <c r="D292" s="18"/>
      <c r="E292" s="18"/>
      <c r="F292" s="18"/>
      <c r="G292" s="22">
        <f t="shared" si="8"/>
        <v>0.55000000000000004</v>
      </c>
      <c r="H292" s="22" t="str">
        <f t="shared" si="9"/>
        <v/>
      </c>
      <c r="I292" s="18"/>
    </row>
    <row r="293" spans="1:9">
      <c r="A293" s="19"/>
      <c r="B293" s="18"/>
      <c r="C293" s="18"/>
      <c r="D293" s="18"/>
      <c r="E293" s="18"/>
      <c r="F293" s="18"/>
      <c r="G293" s="22">
        <f t="shared" si="8"/>
        <v>0.55000000000000004</v>
      </c>
      <c r="H293" s="22" t="str">
        <f t="shared" si="9"/>
        <v/>
      </c>
      <c r="I293" s="18"/>
    </row>
    <row r="294" spans="1:9">
      <c r="A294" s="19"/>
      <c r="B294" s="18"/>
      <c r="C294" s="18"/>
      <c r="D294" s="18"/>
      <c r="E294" s="18"/>
      <c r="F294" s="18"/>
      <c r="G294" s="22">
        <f t="shared" si="8"/>
        <v>0.55000000000000004</v>
      </c>
      <c r="H294" s="22" t="str">
        <f t="shared" si="9"/>
        <v/>
      </c>
      <c r="I294" s="18"/>
    </row>
    <row r="295" spans="1:9">
      <c r="A295" s="19"/>
      <c r="B295" s="18"/>
      <c r="C295" s="18"/>
      <c r="D295" s="18"/>
      <c r="E295" s="18"/>
      <c r="F295" s="18"/>
      <c r="G295" s="22">
        <f t="shared" si="8"/>
        <v>0.55000000000000004</v>
      </c>
      <c r="H295" s="22" t="str">
        <f t="shared" si="9"/>
        <v/>
      </c>
      <c r="I295" s="18"/>
    </row>
    <row r="296" spans="1:9">
      <c r="A296" s="19"/>
      <c r="B296" s="18"/>
      <c r="C296" s="18"/>
      <c r="D296" s="18"/>
      <c r="E296" s="18"/>
      <c r="F296" s="18"/>
      <c r="G296" s="22">
        <f t="shared" si="8"/>
        <v>0.55000000000000004</v>
      </c>
      <c r="H296" s="22" t="str">
        <f t="shared" si="9"/>
        <v/>
      </c>
      <c r="I296" s="18"/>
    </row>
    <row r="297" spans="1:9">
      <c r="A297" s="19"/>
      <c r="B297" s="18"/>
      <c r="C297" s="18"/>
      <c r="D297" s="18"/>
      <c r="E297" s="18"/>
      <c r="F297" s="18"/>
      <c r="G297" s="22">
        <f t="shared" si="8"/>
        <v>0.55000000000000004</v>
      </c>
      <c r="H297" s="22" t="str">
        <f t="shared" si="9"/>
        <v/>
      </c>
      <c r="I297" s="18"/>
    </row>
    <row r="298" spans="1:9">
      <c r="A298" s="19"/>
      <c r="B298" s="18"/>
      <c r="C298" s="18"/>
      <c r="D298" s="18"/>
      <c r="E298" s="18"/>
      <c r="F298" s="18"/>
      <c r="G298" s="22">
        <f t="shared" si="8"/>
        <v>0.55000000000000004</v>
      </c>
      <c r="H298" s="22" t="str">
        <f t="shared" si="9"/>
        <v/>
      </c>
      <c r="I298" s="18"/>
    </row>
    <row r="299" spans="1:9">
      <c r="A299" s="19"/>
      <c r="B299" s="18"/>
      <c r="C299" s="18"/>
      <c r="D299" s="18"/>
      <c r="E299" s="18"/>
      <c r="F299" s="18"/>
      <c r="G299" s="22">
        <f t="shared" si="8"/>
        <v>0.55000000000000004</v>
      </c>
      <c r="H299" s="22" t="str">
        <f t="shared" si="9"/>
        <v/>
      </c>
      <c r="I299" s="18"/>
    </row>
    <row r="300" spans="1:9">
      <c r="A300" s="19"/>
      <c r="B300" s="18"/>
      <c r="C300" s="18"/>
      <c r="D300" s="18"/>
      <c r="E300" s="18"/>
      <c r="F300" s="18"/>
      <c r="G300" s="22">
        <f t="shared" si="8"/>
        <v>0.55000000000000004</v>
      </c>
      <c r="H300" s="22" t="str">
        <f t="shared" si="9"/>
        <v/>
      </c>
      <c r="I300" s="18"/>
    </row>
    <row r="301" spans="1:9">
      <c r="A301" s="19"/>
      <c r="B301" s="18"/>
      <c r="C301" s="18"/>
      <c r="D301" s="18"/>
      <c r="E301" s="18"/>
      <c r="F301" s="18"/>
      <c r="G301" s="22">
        <f t="shared" si="8"/>
        <v>0.55000000000000004</v>
      </c>
      <c r="H301" s="22" t="str">
        <f t="shared" si="9"/>
        <v/>
      </c>
      <c r="I301" s="18"/>
    </row>
  </sheetData>
  <dataValidations count="1">
    <dataValidation type="list" sqref="E2:E301" xr:uid="{00000000-0002-0000-0400-000000000000}">
      <formula1>"Car / Van,Motorcycle,Bicycle"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1"/>
  <sheetViews>
    <sheetView workbookViewId="0"/>
  </sheetViews>
  <sheetFormatPr defaultRowHeight="14.25"/>
  <cols>
    <col min="1" max="9" width="24" customWidth="1"/>
    <col min="11" max="12" width="27" customWidth="1"/>
    <col min="14" max="16" width="27" customWidth="1"/>
  </cols>
  <sheetData>
    <row r="1" spans="1:16" ht="15">
      <c r="A1" s="2" t="s">
        <v>274</v>
      </c>
      <c r="B1" s="2" t="s">
        <v>275</v>
      </c>
      <c r="C1" s="2" t="s">
        <v>276</v>
      </c>
      <c r="D1" s="2" t="s">
        <v>10</v>
      </c>
      <c r="E1" s="2" t="s">
        <v>277</v>
      </c>
      <c r="F1" s="2"/>
      <c r="G1" s="2" t="s">
        <v>227</v>
      </c>
      <c r="H1" s="2" t="s">
        <v>278</v>
      </c>
      <c r="I1" s="2" t="s">
        <v>279</v>
      </c>
      <c r="K1" s="2" t="s">
        <v>280</v>
      </c>
      <c r="L1" s="2" t="s">
        <v>281</v>
      </c>
      <c r="N1" s="43" t="s">
        <v>372</v>
      </c>
      <c r="O1" s="43"/>
      <c r="P1" s="43"/>
    </row>
    <row r="2" spans="1:16" ht="15">
      <c r="A2" t="s">
        <v>52</v>
      </c>
      <c r="B2" t="s">
        <v>48</v>
      </c>
      <c r="C2" t="s">
        <v>26</v>
      </c>
      <c r="D2" t="s">
        <v>27</v>
      </c>
      <c r="E2" t="s">
        <v>27</v>
      </c>
      <c r="G2" t="s">
        <v>31</v>
      </c>
      <c r="H2" t="s">
        <v>34</v>
      </c>
      <c r="I2" t="s">
        <v>28</v>
      </c>
      <c r="K2" t="s">
        <v>282</v>
      </c>
      <c r="L2">
        <v>12570</v>
      </c>
      <c r="N2" s="33" t="s">
        <v>23</v>
      </c>
      <c r="O2" s="33" t="s">
        <v>373</v>
      </c>
      <c r="P2" s="33" t="s">
        <v>374</v>
      </c>
    </row>
    <row r="3" spans="1:16" ht="28.5">
      <c r="A3" t="s">
        <v>167</v>
      </c>
      <c r="B3" t="s">
        <v>24</v>
      </c>
      <c r="C3" t="s">
        <v>176</v>
      </c>
      <c r="D3" t="s">
        <v>44</v>
      </c>
      <c r="E3" t="s">
        <v>44</v>
      </c>
      <c r="G3" t="s">
        <v>154</v>
      </c>
      <c r="H3" t="s">
        <v>23</v>
      </c>
      <c r="I3" t="s">
        <v>283</v>
      </c>
      <c r="K3" t="s">
        <v>284</v>
      </c>
      <c r="L3">
        <v>50270</v>
      </c>
      <c r="N3" s="14" t="s">
        <v>375</v>
      </c>
      <c r="O3" s="14" t="s">
        <v>376</v>
      </c>
      <c r="P3" s="14" t="s">
        <v>377</v>
      </c>
    </row>
    <row r="4" spans="1:16" ht="28.5">
      <c r="A4" t="s">
        <v>91</v>
      </c>
      <c r="B4" t="s">
        <v>285</v>
      </c>
      <c r="C4" t="s">
        <v>286</v>
      </c>
      <c r="D4" t="s">
        <v>148</v>
      </c>
      <c r="E4" t="s">
        <v>159</v>
      </c>
      <c r="G4" t="s">
        <v>287</v>
      </c>
      <c r="H4" t="s">
        <v>288</v>
      </c>
      <c r="I4" t="s">
        <v>289</v>
      </c>
      <c r="K4" t="s">
        <v>290</v>
      </c>
      <c r="L4">
        <v>0.2</v>
      </c>
      <c r="N4" s="14" t="s">
        <v>378</v>
      </c>
      <c r="O4" s="14" t="s">
        <v>63</v>
      </c>
      <c r="P4" s="14" t="s">
        <v>379</v>
      </c>
    </row>
    <row r="5" spans="1:16" ht="28.5">
      <c r="A5" t="s">
        <v>35</v>
      </c>
      <c r="B5" t="s">
        <v>69</v>
      </c>
      <c r="C5" t="s">
        <v>100</v>
      </c>
      <c r="D5" t="s">
        <v>162</v>
      </c>
      <c r="E5" t="s">
        <v>29</v>
      </c>
      <c r="G5" t="s">
        <v>291</v>
      </c>
      <c r="I5" t="s">
        <v>292</v>
      </c>
      <c r="K5" t="s">
        <v>293</v>
      </c>
      <c r="L5">
        <v>0.4</v>
      </c>
      <c r="N5" s="14" t="s">
        <v>380</v>
      </c>
      <c r="O5" s="14" t="s">
        <v>381</v>
      </c>
      <c r="P5" s="14" t="s">
        <v>382</v>
      </c>
    </row>
    <row r="6" spans="1:16" ht="28.5">
      <c r="A6" t="s">
        <v>37</v>
      </c>
      <c r="B6" t="s">
        <v>294</v>
      </c>
      <c r="C6" t="s">
        <v>148</v>
      </c>
      <c r="I6" t="s">
        <v>295</v>
      </c>
      <c r="K6" t="s">
        <v>296</v>
      </c>
      <c r="L6">
        <v>0.06</v>
      </c>
      <c r="N6" s="14" t="s">
        <v>383</v>
      </c>
      <c r="O6" s="14" t="s">
        <v>384</v>
      </c>
      <c r="P6" s="14" t="s">
        <v>385</v>
      </c>
    </row>
    <row r="7" spans="1:16" ht="28.5">
      <c r="A7" t="s">
        <v>49</v>
      </c>
      <c r="B7" t="s">
        <v>80</v>
      </c>
      <c r="K7" t="s">
        <v>297</v>
      </c>
      <c r="L7">
        <v>0.02</v>
      </c>
      <c r="N7" s="14" t="s">
        <v>386</v>
      </c>
      <c r="O7" s="14" t="s">
        <v>387</v>
      </c>
      <c r="P7" s="14" t="s">
        <v>388</v>
      </c>
    </row>
    <row r="8" spans="1:16">
      <c r="A8" t="s">
        <v>72</v>
      </c>
      <c r="B8" t="s">
        <v>298</v>
      </c>
    </row>
    <row r="9" spans="1:16" ht="15">
      <c r="A9" t="s">
        <v>144</v>
      </c>
      <c r="B9" t="s">
        <v>299</v>
      </c>
      <c r="K9" s="2" t="s">
        <v>300</v>
      </c>
      <c r="L9" s="2" t="s">
        <v>245</v>
      </c>
    </row>
    <row r="10" spans="1:16">
      <c r="A10" t="s">
        <v>25</v>
      </c>
      <c r="K10" t="s">
        <v>248</v>
      </c>
      <c r="L10" s="1">
        <v>46241</v>
      </c>
    </row>
    <row r="11" spans="1:16">
      <c r="A11" t="s">
        <v>59</v>
      </c>
      <c r="K11" t="s">
        <v>250</v>
      </c>
      <c r="L11" s="1">
        <v>46333</v>
      </c>
    </row>
    <row r="12" spans="1:16">
      <c r="A12" t="s">
        <v>55</v>
      </c>
      <c r="K12" t="s">
        <v>252</v>
      </c>
      <c r="L12" s="1">
        <v>46425</v>
      </c>
    </row>
    <row r="13" spans="1:16">
      <c r="A13" t="s">
        <v>75</v>
      </c>
    </row>
    <row r="14" spans="1:16">
      <c r="A14" t="s">
        <v>301</v>
      </c>
    </row>
    <row r="15" spans="1:16">
      <c r="A15" t="s">
        <v>302</v>
      </c>
    </row>
    <row r="16" spans="1:16">
      <c r="A16" t="s">
        <v>303</v>
      </c>
    </row>
    <row r="17" spans="1:1">
      <c r="A17" t="s">
        <v>105</v>
      </c>
    </row>
    <row r="18" spans="1:1">
      <c r="A18" t="s">
        <v>304</v>
      </c>
    </row>
    <row r="19" spans="1:1">
      <c r="A19" t="s">
        <v>63</v>
      </c>
    </row>
    <row r="20" spans="1:1">
      <c r="A20" t="s">
        <v>305</v>
      </c>
    </row>
    <row r="21" spans="1:1">
      <c r="A21" t="s">
        <v>157</v>
      </c>
    </row>
    <row r="22" spans="1:1">
      <c r="A22" t="s">
        <v>111</v>
      </c>
    </row>
    <row r="23" spans="1:1">
      <c r="A23" t="s">
        <v>99</v>
      </c>
    </row>
    <row r="24" spans="1:1">
      <c r="A24" t="s">
        <v>175</v>
      </c>
    </row>
    <row r="25" spans="1:1">
      <c r="A25" t="s">
        <v>306</v>
      </c>
    </row>
    <row r="26" spans="1:1">
      <c r="A26" t="s">
        <v>43</v>
      </c>
    </row>
    <row r="27" spans="1:1">
      <c r="A27" t="s">
        <v>173</v>
      </c>
    </row>
    <row r="28" spans="1:1">
      <c r="A28" t="s">
        <v>376</v>
      </c>
    </row>
    <row r="29" spans="1:1">
      <c r="A29" t="s">
        <v>381</v>
      </c>
    </row>
    <row r="30" spans="1:1">
      <c r="A30" t="s">
        <v>384</v>
      </c>
    </row>
    <row r="31" spans="1:1">
      <c r="A31" t="s">
        <v>387</v>
      </c>
    </row>
  </sheetData>
  <mergeCells count="1">
    <mergeCell ref="N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workbookViewId="0">
      <selection sqref="A1:H2"/>
    </sheetView>
  </sheetViews>
  <sheetFormatPr defaultRowHeight="14.25"/>
  <cols>
    <col min="1" max="1" width="34" customWidth="1"/>
    <col min="2" max="2" width="90" customWidth="1"/>
  </cols>
  <sheetData>
    <row r="1" spans="1:8">
      <c r="A1" s="41" t="s">
        <v>307</v>
      </c>
      <c r="B1" s="41"/>
      <c r="C1" s="41"/>
      <c r="D1" s="41"/>
      <c r="E1" s="41"/>
      <c r="F1" s="41"/>
      <c r="G1" s="41"/>
      <c r="H1" s="41"/>
    </row>
    <row r="2" spans="1:8">
      <c r="A2" s="41"/>
      <c r="B2" s="41"/>
      <c r="C2" s="41"/>
      <c r="D2" s="41"/>
      <c r="E2" s="41"/>
      <c r="F2" s="41"/>
      <c r="G2" s="41"/>
      <c r="H2" s="41"/>
    </row>
    <row r="4" spans="1:8" ht="15">
      <c r="A4" s="13" t="s">
        <v>308</v>
      </c>
      <c r="B4" s="13" t="s">
        <v>309</v>
      </c>
    </row>
    <row r="5" spans="1:8">
      <c r="A5" s="14" t="s">
        <v>310</v>
      </c>
      <c r="B5" s="14" t="s">
        <v>311</v>
      </c>
    </row>
    <row r="6" spans="1:8">
      <c r="A6" s="14" t="s">
        <v>312</v>
      </c>
      <c r="B6" s="14" t="s">
        <v>313</v>
      </c>
    </row>
    <row r="7" spans="1:8" ht="28.5">
      <c r="A7" s="14" t="s">
        <v>314</v>
      </c>
      <c r="B7" s="14" t="s">
        <v>315</v>
      </c>
    </row>
    <row r="8" spans="1:8">
      <c r="A8" s="14" t="s">
        <v>316</v>
      </c>
      <c r="B8" s="14" t="s">
        <v>317</v>
      </c>
    </row>
    <row r="9" spans="1:8">
      <c r="A9" s="14" t="s">
        <v>318</v>
      </c>
      <c r="B9" s="14" t="s">
        <v>319</v>
      </c>
    </row>
    <row r="10" spans="1:8">
      <c r="A10" s="14" t="s">
        <v>320</v>
      </c>
      <c r="B10" s="14" t="s">
        <v>321</v>
      </c>
    </row>
    <row r="11" spans="1:8">
      <c r="A11" s="14" t="s">
        <v>322</v>
      </c>
      <c r="B11" s="14" t="s">
        <v>323</v>
      </c>
    </row>
    <row r="12" spans="1:8" ht="28.5">
      <c r="A12" s="14" t="s">
        <v>324</v>
      </c>
      <c r="B12" s="14" t="s">
        <v>325</v>
      </c>
    </row>
    <row r="13" spans="1:8">
      <c r="A13" s="14"/>
      <c r="B13" s="14"/>
    </row>
    <row r="14" spans="1:8" ht="15">
      <c r="A14" s="13" t="s">
        <v>326</v>
      </c>
      <c r="B14" s="13" t="s">
        <v>327</v>
      </c>
    </row>
    <row r="15" spans="1:8">
      <c r="A15" s="14" t="s">
        <v>328</v>
      </c>
      <c r="B15" s="14" t="s">
        <v>329</v>
      </c>
    </row>
    <row r="16" spans="1:8" ht="28.5">
      <c r="A16" s="14" t="s">
        <v>330</v>
      </c>
      <c r="B16" s="14" t="s">
        <v>331</v>
      </c>
    </row>
    <row r="17" spans="1:2">
      <c r="A17" s="14" t="s">
        <v>332</v>
      </c>
      <c r="B17" s="14" t="s">
        <v>333</v>
      </c>
    </row>
    <row r="18" spans="1:2" ht="28.5">
      <c r="A18" s="14" t="s">
        <v>334</v>
      </c>
      <c r="B18" s="14" t="s">
        <v>335</v>
      </c>
    </row>
    <row r="19" spans="1:2" ht="28.5">
      <c r="A19" s="14" t="s">
        <v>336</v>
      </c>
      <c r="B19" s="14" t="s">
        <v>337</v>
      </c>
    </row>
    <row r="20" spans="1:2" ht="28.5">
      <c r="A20" s="14" t="s">
        <v>338</v>
      </c>
      <c r="B20" s="14" t="s">
        <v>339</v>
      </c>
    </row>
    <row r="21" spans="1:2">
      <c r="A21" s="14" t="s">
        <v>340</v>
      </c>
      <c r="B21" s="14" t="s">
        <v>341</v>
      </c>
    </row>
    <row r="23" spans="1:2" ht="15">
      <c r="A23" s="23" t="s">
        <v>342</v>
      </c>
      <c r="B23" s="23" t="s">
        <v>343</v>
      </c>
    </row>
    <row r="24" spans="1:2" ht="28.5">
      <c r="A24" s="14" t="s">
        <v>344</v>
      </c>
      <c r="B24" s="14" t="s">
        <v>345</v>
      </c>
    </row>
    <row r="25" spans="1:2" ht="28.5">
      <c r="A25" s="14" t="s">
        <v>346</v>
      </c>
      <c r="B25" s="14" t="s">
        <v>347</v>
      </c>
    </row>
    <row r="26" spans="1:2">
      <c r="A26" s="14" t="s">
        <v>348</v>
      </c>
      <c r="B26" s="14" t="s">
        <v>349</v>
      </c>
    </row>
    <row r="28" spans="1:2" ht="15">
      <c r="A28" s="35" t="s">
        <v>389</v>
      </c>
      <c r="B28" s="35" t="s">
        <v>390</v>
      </c>
    </row>
    <row r="29" spans="1:2">
      <c r="A29" s="14" t="s">
        <v>391</v>
      </c>
      <c r="B29" s="14" t="s">
        <v>392</v>
      </c>
    </row>
    <row r="30" spans="1:2">
      <c r="A30" s="14" t="s">
        <v>393</v>
      </c>
      <c r="B30" s="14" t="s">
        <v>394</v>
      </c>
    </row>
    <row r="31" spans="1:2">
      <c r="A31" s="14" t="s">
        <v>395</v>
      </c>
      <c r="B31" s="14" t="s">
        <v>396</v>
      </c>
    </row>
    <row r="32" spans="1:2" ht="28.5">
      <c r="A32" s="14" t="s">
        <v>397</v>
      </c>
      <c r="B32" s="14" t="s">
        <v>398</v>
      </c>
    </row>
  </sheetData>
  <mergeCells count="1">
    <mergeCell ref="A1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>
      <selection sqref="A1:F1"/>
    </sheetView>
  </sheetViews>
  <sheetFormatPr defaultRowHeight="14.25"/>
  <cols>
    <col min="1" max="4" width="23" customWidth="1"/>
    <col min="5" max="5" width="48" customWidth="1"/>
    <col min="6" max="6" width="23" customWidth="1"/>
  </cols>
  <sheetData>
    <row r="1" spans="1:6" ht="27.95" customHeight="1">
      <c r="A1" s="44" t="s">
        <v>399</v>
      </c>
      <c r="B1" s="44"/>
      <c r="C1" s="44"/>
      <c r="D1" s="44"/>
      <c r="E1" s="44"/>
      <c r="F1" s="44"/>
    </row>
    <row r="3" spans="1:6" ht="15">
      <c r="A3" s="24" t="s">
        <v>400</v>
      </c>
      <c r="B3" s="24" t="s">
        <v>226</v>
      </c>
      <c r="D3" s="24" t="s">
        <v>401</v>
      </c>
      <c r="E3" s="24" t="s">
        <v>226</v>
      </c>
    </row>
    <row r="4" spans="1:6" ht="15">
      <c r="A4" s="27" t="s">
        <v>402</v>
      </c>
      <c r="B4" s="5">
        <f>Dashboard!B5</f>
        <v>21997.920000000002</v>
      </c>
      <c r="D4" s="27" t="s">
        <v>353</v>
      </c>
      <c r="E4" s="1">
        <f>Dashboard!J5</f>
        <v>46220</v>
      </c>
    </row>
    <row r="5" spans="1:6" ht="15">
      <c r="A5" s="27" t="s">
        <v>403</v>
      </c>
      <c r="B5" s="5">
        <f>Dashboard!B6</f>
        <v>11010.570000000005</v>
      </c>
      <c r="D5" s="27" t="s">
        <v>404</v>
      </c>
      <c r="E5" s="26">
        <f>Dashboard!J6</f>
        <v>103</v>
      </c>
    </row>
    <row r="6" spans="1:6" ht="15">
      <c r="A6" s="27" t="s">
        <v>356</v>
      </c>
      <c r="B6" s="5">
        <f>Dashboard!B7</f>
        <v>10987.349999999997</v>
      </c>
      <c r="D6" s="27" t="s">
        <v>358</v>
      </c>
      <c r="E6" s="5">
        <f>Dashboard!J8</f>
        <v>38935.754854368919</v>
      </c>
    </row>
    <row r="7" spans="1:6" ht="15">
      <c r="A7" s="27" t="s">
        <v>405</v>
      </c>
      <c r="B7" s="5">
        <f>Dashboard!B8</f>
        <v>0</v>
      </c>
      <c r="D7" s="27" t="s">
        <v>361</v>
      </c>
      <c r="E7" s="5">
        <f>Dashboard!J9</f>
        <v>5273.150970873784</v>
      </c>
    </row>
    <row r="8" spans="1:6" ht="15">
      <c r="A8" s="27" t="s">
        <v>406</v>
      </c>
      <c r="B8" s="5">
        <f>Dashboard!B9</f>
        <v>0</v>
      </c>
      <c r="D8" s="27" t="s">
        <v>363</v>
      </c>
      <c r="E8" s="5">
        <f>Dashboard!J10</f>
        <v>1581.945291262135</v>
      </c>
    </row>
    <row r="9" spans="1:6" ht="15">
      <c r="A9" s="27" t="s">
        <v>407</v>
      </c>
      <c r="B9" s="5">
        <f>Dashboard!B10</f>
        <v>0</v>
      </c>
      <c r="D9" s="27" t="s">
        <v>364</v>
      </c>
      <c r="E9" s="5">
        <f>Dashboard!J11</f>
        <v>6855.0962621359195</v>
      </c>
    </row>
    <row r="11" spans="1:6">
      <c r="A11" s="42" t="s">
        <v>408</v>
      </c>
      <c r="B11" s="42"/>
      <c r="C11" s="42"/>
      <c r="D11" s="42"/>
      <c r="E11" s="42"/>
      <c r="F11" s="42"/>
    </row>
    <row r="12" spans="1:6">
      <c r="A12" s="42"/>
      <c r="B12" s="42"/>
      <c r="C12" s="42"/>
      <c r="D12" s="42"/>
      <c r="E12" s="42"/>
      <c r="F12" s="42"/>
    </row>
    <row r="13" spans="1:6">
      <c r="A13" s="42"/>
      <c r="B13" s="42"/>
      <c r="C13" s="42"/>
      <c r="D13" s="42"/>
      <c r="E13" s="42"/>
      <c r="F13" s="42"/>
    </row>
    <row r="15" spans="1:6" ht="15">
      <c r="A15" s="32" t="s">
        <v>409</v>
      </c>
      <c r="B15" s="32" t="s">
        <v>281</v>
      </c>
      <c r="D15" s="32" t="s">
        <v>410</v>
      </c>
      <c r="E15" s="32" t="s">
        <v>411</v>
      </c>
      <c r="F15" s="32" t="s">
        <v>412</v>
      </c>
    </row>
    <row r="16" spans="1:6">
      <c r="A16" t="s">
        <v>282</v>
      </c>
      <c r="B16" s="5">
        <v>12570</v>
      </c>
      <c r="D16" t="s">
        <v>413</v>
      </c>
      <c r="E16" t="s">
        <v>414</v>
      </c>
      <c r="F16" t="s">
        <v>415</v>
      </c>
    </row>
    <row r="17" spans="1:6">
      <c r="A17" t="s">
        <v>416</v>
      </c>
      <c r="B17" s="5">
        <v>50270</v>
      </c>
      <c r="D17" t="s">
        <v>417</v>
      </c>
      <c r="E17" t="s">
        <v>418</v>
      </c>
      <c r="F17" t="s">
        <v>415</v>
      </c>
    </row>
    <row r="18" spans="1:6">
      <c r="A18" t="s">
        <v>290</v>
      </c>
      <c r="B18" s="34">
        <v>0.2</v>
      </c>
      <c r="D18" t="s">
        <v>419</v>
      </c>
      <c r="E18" t="s">
        <v>420</v>
      </c>
      <c r="F18" t="s">
        <v>415</v>
      </c>
    </row>
    <row r="19" spans="1:6">
      <c r="A19" t="s">
        <v>296</v>
      </c>
      <c r="B19" s="34">
        <v>0.06</v>
      </c>
    </row>
  </sheetData>
  <mergeCells count="2">
    <mergeCell ref="A1:F1"/>
    <mergeCell ref="A11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Transactions</vt:lpstr>
      <vt:lpstr>Dashboard</vt:lpstr>
      <vt:lpstr>MTD Summary</vt:lpstr>
      <vt:lpstr>Bike Stock</vt:lpstr>
      <vt:lpstr>Mileage</vt:lpstr>
      <vt:lpstr>Lists</vt:lpstr>
      <vt:lpstr>Instructions</vt:lpstr>
      <vt:lpstr>Tax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byrne</cp:lastModifiedBy>
  <dcterms:created xsi:type="dcterms:W3CDTF">2026-07-19T11:08:11Z</dcterms:created>
  <dcterms:modified xsi:type="dcterms:W3CDTF">2026-07-19T11:28:10Z</dcterms:modified>
</cp:coreProperties>
</file>